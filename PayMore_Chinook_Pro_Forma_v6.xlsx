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y Drive\03_Paymore\Chinook\Pro Forma\"/>
    </mc:Choice>
  </mc:AlternateContent>
  <xr:revisionPtr revIDLastSave="0" documentId="13_ncr:1_{05E22A9C-CA83-49DB-A64B-3474DAD11446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Cover" sheetId="11" r:id="rId1"/>
    <sheet name="Startup" sheetId="1" r:id="rId2"/>
    <sheet name="Assumptions" sheetId="2" r:id="rId3"/>
    <sheet name="24M Income Statement" sheetId="13" r:id="rId4"/>
    <sheet name="5Y Income Statement" sheetId="10" r:id="rId5"/>
    <sheet name="Balance Sheet" sheetId="12" r:id="rId6"/>
    <sheet name="Cash Flow" sheetId="5" r:id="rId7"/>
  </sheets>
  <definedNames>
    <definedName name="_Fill" localSheetId="3" hidden="1">#REF!</definedName>
    <definedName name="_Fill" hidden="1">#REF!</definedName>
    <definedName name="_Key1" localSheetId="3" hidden="1">#REF!</definedName>
    <definedName name="_Key1" hidden="1">#REF!</definedName>
    <definedName name="_Order1" hidden="1">255</definedName>
    <definedName name="_Sort" hidden="1">#REF!</definedName>
    <definedName name="asd" hidden="1">#REF!</definedName>
    <definedName name="Best">OFFSET(#REF!,0,0,1,#REF!)</definedName>
    <definedName name="Better">OFFSET(#REF!,0,0,1,#REF!)</definedName>
    <definedName name="k" hidden="1">#REF!</definedName>
    <definedName name="LeaseTerm">OFFSET(#REF!,0,0,1,#REF!)</definedName>
    <definedName name="Likely">OFFSET(#REF!,0,0,1,#REF!)</definedName>
    <definedName name="MostLikely">OFFSET(#REF!,0,0,1,#REF!)</definedName>
    <definedName name="PayrollStoreID">#REF!</definedName>
    <definedName name="_xlnm.Print_Area" localSheetId="3">'24M Income Statement'!$C$1:$E$61</definedName>
    <definedName name="_xlnm.Print_Area" localSheetId="4">'5Y Income Statement'!$C$1:$E$44</definedName>
    <definedName name="_xlnm.Print_Area">#REF!</definedName>
    <definedName name="_xlnm.Print_Titles">#REF!</definedName>
    <definedName name="RegionalID">#REF!</definedName>
    <definedName name="Sales" localSheetId="3">#REF!</definedName>
    <definedName name="Sales" localSheetId="4">#REF!</definedName>
    <definedName name="Sales">#REF!</definedName>
    <definedName name="SalesStoreID">#REF!</definedName>
    <definedName name="SaleTierForBESales">#REF!</definedName>
    <definedName name="Scenario">OFFSET(#REF!,1,0,#REF!,1)</definedName>
    <definedName name="ScenarioTT">OFFSET(#REF!,1,0,#REF!,1)</definedName>
    <definedName name="sdf" hidden="1">#REF!</definedName>
    <definedName name="Storefilter">#REF!</definedName>
    <definedName name="StoreID">#REF!</definedName>
    <definedName name="TLA.003" hidden="1">#REF!</definedName>
    <definedName name="TLA.004" hidden="1">#REF!</definedName>
    <definedName name="TLA.008" hidden="1">#REF!</definedName>
    <definedName name="TLA.027" hidden="1">#REF!</definedName>
    <definedName name="TLA.055" hidden="1">#REF!</definedName>
    <definedName name="TLA.100" hidden="1">#REF!</definedName>
    <definedName name="Worst">OFFSET(#REF!,0,0,1,#REF!)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3" l="1"/>
  <c r="H22" i="13"/>
  <c r="H21" i="13"/>
  <c r="H20" i="13"/>
  <c r="I22" i="13"/>
  <c r="I21" i="13"/>
  <c r="I20" i="13"/>
  <c r="F20" i="13"/>
  <c r="J20" i="13"/>
  <c r="K20" i="13"/>
  <c r="L20" i="13"/>
  <c r="N20" i="13"/>
  <c r="P20" i="13"/>
  <c r="R20" i="13"/>
  <c r="T20" i="13"/>
  <c r="V20" i="13"/>
  <c r="X20" i="13"/>
  <c r="Z20" i="13"/>
  <c r="AB20" i="13"/>
  <c r="AD20" i="13"/>
  <c r="AF20" i="13"/>
  <c r="AH20" i="13"/>
  <c r="AJ20" i="13"/>
  <c r="AL20" i="13"/>
  <c r="AN20" i="13"/>
  <c r="AP20" i="13"/>
  <c r="AR20" i="13"/>
  <c r="AT20" i="13"/>
  <c r="AV20" i="13"/>
  <c r="F21" i="13"/>
  <c r="J21" i="13"/>
  <c r="K21" i="13"/>
  <c r="L21" i="13"/>
  <c r="N21" i="13"/>
  <c r="P21" i="13"/>
  <c r="R21" i="13"/>
  <c r="T21" i="13"/>
  <c r="V21" i="13"/>
  <c r="X21" i="13"/>
  <c r="Z21" i="13"/>
  <c r="AB21" i="13"/>
  <c r="AD21" i="13"/>
  <c r="AF21" i="13"/>
  <c r="AH21" i="13"/>
  <c r="AJ21" i="13"/>
  <c r="AL21" i="13"/>
  <c r="AN21" i="13"/>
  <c r="AP21" i="13"/>
  <c r="AR21" i="13"/>
  <c r="AT21" i="13"/>
  <c r="AV21" i="13"/>
  <c r="F22" i="13"/>
  <c r="J22" i="13"/>
  <c r="K22" i="13"/>
  <c r="L22" i="13"/>
  <c r="N22" i="13"/>
  <c r="P22" i="13"/>
  <c r="R22" i="13"/>
  <c r="T22" i="13"/>
  <c r="V22" i="13"/>
  <c r="X22" i="13"/>
  <c r="Z22" i="13"/>
  <c r="AB22" i="13"/>
  <c r="AD22" i="13"/>
  <c r="AF22" i="13"/>
  <c r="AH22" i="13"/>
  <c r="AJ22" i="13"/>
  <c r="AL22" i="13"/>
  <c r="AN22" i="13"/>
  <c r="AP22" i="13"/>
  <c r="AR22" i="13"/>
  <c r="AT22" i="13"/>
  <c r="AV22" i="13"/>
  <c r="F25" i="13"/>
  <c r="F24" i="13"/>
  <c r="H13" i="13"/>
  <c r="AV13" i="13"/>
  <c r="AT13" i="13"/>
  <c r="AR13" i="13"/>
  <c r="AP13" i="13"/>
  <c r="AN13" i="13"/>
  <c r="AL13" i="13"/>
  <c r="AJ13" i="13"/>
  <c r="AH13" i="13"/>
  <c r="AF13" i="13"/>
  <c r="AD13" i="13"/>
  <c r="AB13" i="13"/>
  <c r="Z13" i="13"/>
  <c r="X13" i="13"/>
  <c r="V13" i="13"/>
  <c r="T13" i="13"/>
  <c r="R13" i="13"/>
  <c r="P13" i="13"/>
  <c r="N13" i="13"/>
  <c r="L13" i="13"/>
  <c r="J13" i="13"/>
  <c r="K13" i="13"/>
  <c r="G34" i="13"/>
  <c r="G30" i="13"/>
  <c r="G28" i="13"/>
  <c r="G27" i="13"/>
  <c r="G25" i="13"/>
  <c r="G24" i="13"/>
  <c r="G23" i="13"/>
  <c r="K34" i="13"/>
  <c r="I34" i="13"/>
  <c r="H15" i="13"/>
  <c r="K30" i="13" l="1"/>
  <c r="K28" i="13"/>
  <c r="K27" i="13"/>
  <c r="K25" i="13"/>
  <c r="K24" i="13"/>
  <c r="K23" i="13"/>
  <c r="I30" i="13"/>
  <c r="I28" i="13"/>
  <c r="I27" i="13"/>
  <c r="I25" i="13"/>
  <c r="I24" i="13"/>
  <c r="J15" i="13"/>
  <c r="J10" i="13"/>
  <c r="J14" i="13" s="1"/>
  <c r="N10" i="13"/>
  <c r="F10" i="13"/>
  <c r="H10" i="13"/>
  <c r="H14" i="13" s="1"/>
  <c r="I13" i="13"/>
  <c r="P10" i="13"/>
  <c r="R10" i="13"/>
  <c r="B29" i="1"/>
  <c r="B28" i="1"/>
  <c r="B27" i="1"/>
  <c r="B25" i="1"/>
  <c r="AV30" i="13"/>
  <c r="AT30" i="13"/>
  <c r="AR30" i="13"/>
  <c r="AP30" i="13"/>
  <c r="AN30" i="13"/>
  <c r="AL30" i="13"/>
  <c r="AJ30" i="13"/>
  <c r="AH30" i="13"/>
  <c r="AF30" i="13"/>
  <c r="AD30" i="13"/>
  <c r="AB30" i="13"/>
  <c r="Z30" i="13"/>
  <c r="X30" i="13"/>
  <c r="V30" i="13"/>
  <c r="T30" i="13"/>
  <c r="R30" i="13"/>
  <c r="P30" i="13"/>
  <c r="N30" i="13"/>
  <c r="L30" i="13"/>
  <c r="J30" i="13"/>
  <c r="H30" i="13"/>
  <c r="F30" i="13"/>
  <c r="B22" i="1"/>
  <c r="C13" i="12"/>
  <c r="E8" i="10"/>
  <c r="B11" i="1"/>
  <c r="E29" i="13"/>
  <c r="K29" i="13" l="1"/>
  <c r="G29" i="13"/>
  <c r="I29" i="13"/>
  <c r="B30" i="1"/>
  <c r="C16" i="12"/>
  <c r="C15" i="12"/>
  <c r="F39" i="10"/>
  <c r="G39" i="10" s="1"/>
  <c r="H39" i="10" s="1"/>
  <c r="I39" i="10" s="1"/>
  <c r="J39" i="10" s="1"/>
  <c r="C5" i="12"/>
  <c r="C14" i="12"/>
  <c r="B6" i="2"/>
  <c r="C6" i="2" s="1"/>
  <c r="D6" i="2" s="1"/>
  <c r="E6" i="2" s="1"/>
  <c r="F6" i="2" s="1"/>
  <c r="E16" i="10"/>
  <c r="E17" i="10"/>
  <c r="E18" i="10"/>
  <c r="E19" i="10"/>
  <c r="E20" i="10"/>
  <c r="E23" i="10"/>
  <c r="E24" i="10"/>
  <c r="E25" i="10"/>
  <c r="E26" i="10"/>
  <c r="E15" i="10"/>
  <c r="D16" i="10"/>
  <c r="D17" i="10"/>
  <c r="D18" i="10"/>
  <c r="D19" i="10"/>
  <c r="D20" i="10"/>
  <c r="D21" i="10"/>
  <c r="D22" i="10"/>
  <c r="D23" i="10"/>
  <c r="D24" i="10"/>
  <c r="D25" i="10"/>
  <c r="D26" i="10"/>
  <c r="D15" i="10"/>
  <c r="D9" i="10"/>
  <c r="D10" i="10"/>
  <c r="D11" i="10"/>
  <c r="D8" i="10"/>
  <c r="P14" i="13"/>
  <c r="AF23" i="13"/>
  <c r="AH23" i="13"/>
  <c r="AJ23" i="13"/>
  <c r="AL23" i="13"/>
  <c r="AN23" i="13"/>
  <c r="AP23" i="13"/>
  <c r="AR23" i="13"/>
  <c r="AT23" i="13"/>
  <c r="AV23" i="13"/>
  <c r="AD23" i="13"/>
  <c r="P23" i="13"/>
  <c r="R23" i="13"/>
  <c r="T23" i="13"/>
  <c r="V23" i="13"/>
  <c r="X23" i="13"/>
  <c r="Z23" i="13"/>
  <c r="AB23" i="13"/>
  <c r="N23" i="13"/>
  <c r="P44" i="13"/>
  <c r="J23" i="13"/>
  <c r="L23" i="13"/>
  <c r="F23" i="13"/>
  <c r="P48" i="13"/>
  <c r="L15" i="13"/>
  <c r="F15" i="13"/>
  <c r="L10" i="13"/>
  <c r="L14" i="13" s="1"/>
  <c r="F14" i="13"/>
  <c r="E26" i="13"/>
  <c r="G26" i="13" s="1"/>
  <c r="G31" i="13" s="1"/>
  <c r="T26" i="13" l="1"/>
  <c r="K26" i="13"/>
  <c r="I26" i="13"/>
  <c r="E21" i="10"/>
  <c r="B7" i="2"/>
  <c r="P15" i="13"/>
  <c r="AR26" i="13"/>
  <c r="AH26" i="13"/>
  <c r="N14" i="13"/>
  <c r="N15" i="13"/>
  <c r="L26" i="13"/>
  <c r="AF26" i="13"/>
  <c r="AD26" i="13"/>
  <c r="AB26" i="13"/>
  <c r="R26" i="13"/>
  <c r="AV26" i="13"/>
  <c r="P26" i="13"/>
  <c r="AT26" i="13"/>
  <c r="N26" i="13"/>
  <c r="AP26" i="13"/>
  <c r="Z26" i="13"/>
  <c r="J26" i="13"/>
  <c r="AN26" i="13"/>
  <c r="X26" i="13"/>
  <c r="H26" i="13"/>
  <c r="F26" i="13"/>
  <c r="AL26" i="13"/>
  <c r="V26" i="13"/>
  <c r="AJ26" i="13"/>
  <c r="G20" i="10"/>
  <c r="H20" i="10" s="1"/>
  <c r="I20" i="10" s="1"/>
  <c r="J20" i="10" s="1"/>
  <c r="F20" i="10"/>
  <c r="E30" i="10"/>
  <c r="E53" i="13"/>
  <c r="P47" i="13"/>
  <c r="P46" i="13"/>
  <c r="P45" i="13"/>
  <c r="E51" i="13"/>
  <c r="AV24" i="13"/>
  <c r="AV25" i="13"/>
  <c r="AV27" i="13"/>
  <c r="AV28" i="13"/>
  <c r="AV34" i="13"/>
  <c r="C37" i="12" l="1"/>
  <c r="R14" i="13"/>
  <c r="R15" i="13"/>
  <c r="E54" i="13"/>
  <c r="AB48" i="13"/>
  <c r="AB47" i="13"/>
  <c r="AB46" i="13"/>
  <c r="AB45" i="13"/>
  <c r="AB44" i="13"/>
  <c r="AT34" i="13"/>
  <c r="AR34" i="13"/>
  <c r="AP34" i="13"/>
  <c r="AN34" i="13"/>
  <c r="AL34" i="13"/>
  <c r="AJ34" i="13"/>
  <c r="AH34" i="13"/>
  <c r="AF34" i="13"/>
  <c r="AD34" i="13"/>
  <c r="AB34" i="13"/>
  <c r="Z34" i="13"/>
  <c r="X34" i="13"/>
  <c r="V34" i="13"/>
  <c r="T34" i="13"/>
  <c r="R34" i="13"/>
  <c r="P34" i="13"/>
  <c r="N34" i="13"/>
  <c r="L34" i="13"/>
  <c r="J34" i="13"/>
  <c r="H34" i="13"/>
  <c r="F34" i="13"/>
  <c r="AT28" i="13"/>
  <c r="AR28" i="13"/>
  <c r="AP28" i="13"/>
  <c r="AN28" i="13"/>
  <c r="AL28" i="13"/>
  <c r="AJ28" i="13"/>
  <c r="AH28" i="13"/>
  <c r="AF28" i="13"/>
  <c r="AD28" i="13"/>
  <c r="AB28" i="13"/>
  <c r="Z28" i="13"/>
  <c r="X28" i="13"/>
  <c r="V28" i="13"/>
  <c r="T28" i="13"/>
  <c r="R28" i="13"/>
  <c r="P28" i="13"/>
  <c r="N28" i="13"/>
  <c r="L28" i="13"/>
  <c r="J28" i="13"/>
  <c r="H28" i="13"/>
  <c r="F28" i="13"/>
  <c r="AT27" i="13"/>
  <c r="AR27" i="13"/>
  <c r="AP27" i="13"/>
  <c r="AN27" i="13"/>
  <c r="AL27" i="13"/>
  <c r="AJ27" i="13"/>
  <c r="AH27" i="13"/>
  <c r="AF27" i="13"/>
  <c r="AD27" i="13"/>
  <c r="AB27" i="13"/>
  <c r="Z27" i="13"/>
  <c r="X27" i="13"/>
  <c r="V27" i="13"/>
  <c r="T27" i="13"/>
  <c r="R27" i="13"/>
  <c r="P27" i="13"/>
  <c r="N27" i="13"/>
  <c r="L27" i="13"/>
  <c r="J27" i="13"/>
  <c r="H27" i="13"/>
  <c r="F27" i="13"/>
  <c r="AT25" i="13"/>
  <c r="AR25" i="13"/>
  <c r="AP25" i="13"/>
  <c r="AN25" i="13"/>
  <c r="AL25" i="13"/>
  <c r="AJ25" i="13"/>
  <c r="AH25" i="13"/>
  <c r="AF25" i="13"/>
  <c r="AD25" i="13"/>
  <c r="AB25" i="13"/>
  <c r="Z25" i="13"/>
  <c r="X25" i="13"/>
  <c r="V25" i="13"/>
  <c r="T25" i="13"/>
  <c r="R25" i="13"/>
  <c r="P25" i="13"/>
  <c r="N25" i="13"/>
  <c r="L25" i="13"/>
  <c r="J25" i="13"/>
  <c r="H25" i="13"/>
  <c r="AT24" i="13"/>
  <c r="AR24" i="13"/>
  <c r="AP24" i="13"/>
  <c r="AN24" i="13"/>
  <c r="AL24" i="13"/>
  <c r="AJ24" i="13"/>
  <c r="AH24" i="13"/>
  <c r="AF24" i="13"/>
  <c r="AD24" i="13"/>
  <c r="AB24" i="13"/>
  <c r="Z24" i="13"/>
  <c r="X24" i="13"/>
  <c r="V24" i="13"/>
  <c r="T24" i="13"/>
  <c r="R24" i="13"/>
  <c r="P24" i="13"/>
  <c r="N24" i="13"/>
  <c r="L24" i="13"/>
  <c r="J24" i="13"/>
  <c r="H24" i="13"/>
  <c r="F13" i="13"/>
  <c r="E22" i="10" l="1"/>
  <c r="K31" i="13"/>
  <c r="I31" i="13"/>
  <c r="X15" i="13"/>
  <c r="X10" i="13"/>
  <c r="X14" i="13" s="1"/>
  <c r="T10" i="13"/>
  <c r="T14" i="13" s="1"/>
  <c r="T15" i="13"/>
  <c r="V29" i="13"/>
  <c r="AV29" i="13"/>
  <c r="AL29" i="13"/>
  <c r="X29" i="13"/>
  <c r="AB49" i="13"/>
  <c r="G33" i="13" s="1"/>
  <c r="G35" i="13" s="1"/>
  <c r="G37" i="13" s="1"/>
  <c r="N29" i="13"/>
  <c r="AP29" i="13"/>
  <c r="AR29" i="13"/>
  <c r="P29" i="13"/>
  <c r="AJ29" i="13"/>
  <c r="T29" i="13"/>
  <c r="AH29" i="13"/>
  <c r="R29" i="13"/>
  <c r="AF29" i="13"/>
  <c r="L29" i="13"/>
  <c r="AD29" i="13"/>
  <c r="J29" i="13"/>
  <c r="AB29" i="13"/>
  <c r="H29" i="13"/>
  <c r="AT29" i="13"/>
  <c r="Z29" i="13"/>
  <c r="F29" i="13"/>
  <c r="AN29" i="13"/>
  <c r="K33" i="13" l="1"/>
  <c r="K35" i="13" s="1"/>
  <c r="I33" i="13"/>
  <c r="I35" i="13" s="1"/>
  <c r="F5" i="10"/>
  <c r="Z10" i="13"/>
  <c r="Z14" i="13" s="1"/>
  <c r="Z15" i="13"/>
  <c r="V10" i="13"/>
  <c r="V14" i="13" s="1"/>
  <c r="V15" i="13"/>
  <c r="AN33" i="13"/>
  <c r="AN35" i="13" s="1"/>
  <c r="F29" i="10"/>
  <c r="G29" i="10" s="1"/>
  <c r="H29" i="10" s="1"/>
  <c r="I29" i="10" s="1"/>
  <c r="J29" i="10" s="1"/>
  <c r="N33" i="13"/>
  <c r="N35" i="13" s="1"/>
  <c r="P33" i="13"/>
  <c r="P35" i="13" s="1"/>
  <c r="Z33" i="13"/>
  <c r="Z35" i="13" s="1"/>
  <c r="AV33" i="13"/>
  <c r="AV35" i="13" s="1"/>
  <c r="AL33" i="13"/>
  <c r="AL35" i="13" s="1"/>
  <c r="AF33" i="13"/>
  <c r="AF35" i="13" s="1"/>
  <c r="R33" i="13"/>
  <c r="R35" i="13" s="1"/>
  <c r="AR33" i="13"/>
  <c r="AR35" i="13" s="1"/>
  <c r="L33" i="13"/>
  <c r="L35" i="13" s="1"/>
  <c r="AD33" i="13"/>
  <c r="AD35" i="13" s="1"/>
  <c r="AH33" i="13"/>
  <c r="AH35" i="13" s="1"/>
  <c r="J33" i="13"/>
  <c r="J35" i="13" s="1"/>
  <c r="AB33" i="13"/>
  <c r="AB35" i="13" s="1"/>
  <c r="T33" i="13"/>
  <c r="T35" i="13" s="1"/>
  <c r="L31" i="13"/>
  <c r="H33" i="13"/>
  <c r="H35" i="13" s="1"/>
  <c r="AJ33" i="13"/>
  <c r="AJ35" i="13" s="1"/>
  <c r="X33" i="13"/>
  <c r="X35" i="13" s="1"/>
  <c r="F33" i="13"/>
  <c r="F35" i="13" s="1"/>
  <c r="AT33" i="13"/>
  <c r="AT35" i="13" s="1"/>
  <c r="P31" i="13"/>
  <c r="N31" i="13"/>
  <c r="AP33" i="13"/>
  <c r="AP35" i="13" s="1"/>
  <c r="J31" i="13"/>
  <c r="V33" i="13"/>
  <c r="V35" i="13" s="1"/>
  <c r="H31" i="13"/>
  <c r="F31" i="13"/>
  <c r="X31" i="13"/>
  <c r="V31" i="13" l="1"/>
  <c r="Z31" i="13"/>
  <c r="AB10" i="13"/>
  <c r="AB15" i="13"/>
  <c r="F10" i="10" s="1"/>
  <c r="R31" i="13"/>
  <c r="AB14" i="13" l="1"/>
  <c r="F9" i="10" s="1"/>
  <c r="AB31" i="13"/>
  <c r="AD15" i="13"/>
  <c r="AD10" i="13"/>
  <c r="AD14" i="13" s="1"/>
  <c r="F8" i="10"/>
  <c r="T31" i="13"/>
  <c r="AD31" i="13" l="1"/>
  <c r="AF15" i="13"/>
  <c r="AF10" i="13"/>
  <c r="AF14" i="13" s="1"/>
  <c r="C7" i="12"/>
  <c r="C8" i="12"/>
  <c r="AH10" i="13" l="1"/>
  <c r="AH14" i="13" s="1"/>
  <c r="AH15" i="13"/>
  <c r="AF31" i="13"/>
  <c r="C10" i="12"/>
  <c r="C19" i="12"/>
  <c r="AJ15" i="13" l="1"/>
  <c r="AJ10" i="13"/>
  <c r="AJ14" i="13" s="1"/>
  <c r="AH31" i="13"/>
  <c r="C20" i="12"/>
  <c r="AJ31" i="13" l="1"/>
  <c r="AL15" i="13"/>
  <c r="AL10" i="13"/>
  <c r="AL14" i="13" s="1"/>
  <c r="C6" i="5"/>
  <c r="AL31" i="13" l="1"/>
  <c r="AN15" i="13"/>
  <c r="AN10" i="13"/>
  <c r="AN14" i="13" s="1"/>
  <c r="F17" i="10"/>
  <c r="F30" i="10"/>
  <c r="G30" i="10" s="1"/>
  <c r="H30" i="10" s="1"/>
  <c r="I30" i="10" s="1"/>
  <c r="J30" i="10" s="1"/>
  <c r="G26" i="10"/>
  <c r="H26" i="10" s="1"/>
  <c r="I26" i="10" s="1"/>
  <c r="J26" i="10" s="1"/>
  <c r="F26" i="10"/>
  <c r="G25" i="10"/>
  <c r="H25" i="10" s="1"/>
  <c r="I25" i="10" s="1"/>
  <c r="J25" i="10" s="1"/>
  <c r="F25" i="10"/>
  <c r="G24" i="10"/>
  <c r="H24" i="10" s="1"/>
  <c r="I24" i="10" s="1"/>
  <c r="J24" i="10" s="1"/>
  <c r="F24" i="10"/>
  <c r="G23" i="10"/>
  <c r="H23" i="10" s="1"/>
  <c r="I23" i="10" s="1"/>
  <c r="J23" i="10" s="1"/>
  <c r="F23" i="10"/>
  <c r="G22" i="10"/>
  <c r="H22" i="10" s="1"/>
  <c r="I22" i="10" s="1"/>
  <c r="J22" i="10" s="1"/>
  <c r="F22" i="10"/>
  <c r="G21" i="10"/>
  <c r="H21" i="10" s="1"/>
  <c r="I21" i="10" s="1"/>
  <c r="J21" i="10" s="1"/>
  <c r="F21" i="10"/>
  <c r="G19" i="10"/>
  <c r="H19" i="10" s="1"/>
  <c r="I19" i="10" s="1"/>
  <c r="J19" i="10" s="1"/>
  <c r="F19" i="10"/>
  <c r="G18" i="10"/>
  <c r="H18" i="10" s="1"/>
  <c r="I18" i="10" s="1"/>
  <c r="J18" i="10" s="1"/>
  <c r="F18" i="10"/>
  <c r="F16" i="10"/>
  <c r="F15" i="10"/>
  <c r="AN31" i="13" l="1"/>
  <c r="AP10" i="13"/>
  <c r="AP14" i="13" s="1"/>
  <c r="AP15" i="13"/>
  <c r="F27" i="10"/>
  <c r="AR10" i="13" l="1"/>
  <c r="AR14" i="13" s="1"/>
  <c r="AR15" i="13"/>
  <c r="AP31" i="13"/>
  <c r="F31" i="10"/>
  <c r="C17" i="5" s="1"/>
  <c r="G31" i="10"/>
  <c r="AR31" i="13" l="1"/>
  <c r="AT10" i="13"/>
  <c r="AT14" i="13" s="1"/>
  <c r="AT15" i="13"/>
  <c r="H31" i="10"/>
  <c r="AT31" i="13" l="1"/>
  <c r="AV10" i="13"/>
  <c r="AV14" i="13" s="1"/>
  <c r="AV15" i="13"/>
  <c r="I31" i="10"/>
  <c r="J31" i="10"/>
  <c r="AV31" i="13" l="1"/>
  <c r="G5" i="10"/>
  <c r="H5" i="10" l="1"/>
  <c r="D6" i="5"/>
  <c r="G17" i="10"/>
  <c r="G15" i="10"/>
  <c r="G16" i="10"/>
  <c r="G10" i="10"/>
  <c r="G8" i="10"/>
  <c r="B8" i="2"/>
  <c r="G9" i="10" l="1"/>
  <c r="H9" i="10" s="1"/>
  <c r="B5" i="2"/>
  <c r="B11" i="5"/>
  <c r="G27" i="10"/>
  <c r="D17" i="5" s="1"/>
  <c r="H10" i="10"/>
  <c r="H8" i="10"/>
  <c r="I5" i="10"/>
  <c r="J5" i="10" s="1"/>
  <c r="J8" i="10" s="1"/>
  <c r="E6" i="5"/>
  <c r="H17" i="10"/>
  <c r="H15" i="10"/>
  <c r="H16" i="10"/>
  <c r="C8" i="2"/>
  <c r="C28" i="12"/>
  <c r="F37" i="10"/>
  <c r="G37" i="10" s="1"/>
  <c r="H27" i="10" l="1"/>
  <c r="E17" i="5" s="1"/>
  <c r="J9" i="10"/>
  <c r="I9" i="10"/>
  <c r="I8" i="10"/>
  <c r="J10" i="10"/>
  <c r="I10" i="10"/>
  <c r="F6" i="5"/>
  <c r="I15" i="10"/>
  <c r="I16" i="10"/>
  <c r="I17" i="10"/>
  <c r="C18" i="5"/>
  <c r="C23" i="5"/>
  <c r="C29" i="12"/>
  <c r="C32" i="12"/>
  <c r="C34" i="12" s="1"/>
  <c r="H37" i="10"/>
  <c r="D18" i="5"/>
  <c r="B20" i="5"/>
  <c r="B10" i="5"/>
  <c r="B7" i="5"/>
  <c r="C7" i="5"/>
  <c r="C12" i="5" s="1"/>
  <c r="I27" i="10" l="1"/>
  <c r="F17" i="5" s="1"/>
  <c r="G6" i="5"/>
  <c r="J16" i="10"/>
  <c r="J17" i="10"/>
  <c r="J15" i="10"/>
  <c r="C35" i="12"/>
  <c r="E18" i="5"/>
  <c r="I37" i="10"/>
  <c r="B12" i="5"/>
  <c r="C38" i="12" l="1"/>
  <c r="C39" i="12" s="1"/>
  <c r="J27" i="10"/>
  <c r="G17" i="5" s="1"/>
  <c r="J37" i="10"/>
  <c r="G18" i="5" s="1"/>
  <c r="F18" i="5"/>
  <c r="B24" i="5"/>
  <c r="B26" i="5" s="1"/>
  <c r="B28" i="5" s="1"/>
  <c r="B29" i="5" s="1"/>
  <c r="E7" i="5" l="1"/>
  <c r="E12" i="5" s="1"/>
  <c r="D7" i="5"/>
  <c r="D12" i="5" s="1"/>
  <c r="F7" i="5"/>
  <c r="F12" i="5" s="1"/>
  <c r="G7" i="5" l="1"/>
  <c r="G12" i="5" s="1"/>
  <c r="C4" i="2" l="1"/>
  <c r="D4" i="2" l="1"/>
  <c r="E4" i="2" l="1"/>
  <c r="D8" i="2" l="1"/>
  <c r="F4" i="2"/>
  <c r="D23" i="5" l="1"/>
  <c r="E8" i="2"/>
  <c r="F8" i="2" l="1"/>
  <c r="E23" i="5"/>
  <c r="F23" i="5" l="1"/>
  <c r="G23" i="5"/>
  <c r="P49" i="13"/>
  <c r="P50" i="13" l="1"/>
  <c r="P51" i="13" s="1"/>
  <c r="I16" i="13" s="1"/>
  <c r="I17" i="13" s="1"/>
  <c r="I37" i="13" s="1"/>
  <c r="F16" i="13" l="1"/>
  <c r="H16" i="13" s="1"/>
  <c r="P53" i="13"/>
  <c r="J16" i="13" l="1"/>
  <c r="J17" i="13" s="1"/>
  <c r="J37" i="13" s="1"/>
  <c r="H17" i="13"/>
  <c r="H37" i="13" s="1"/>
  <c r="K16" i="13"/>
  <c r="K17" i="13" s="1"/>
  <c r="K37" i="13" s="1"/>
  <c r="F17" i="13"/>
  <c r="F37" i="13" s="1"/>
  <c r="AF16" i="13" l="1"/>
  <c r="AF17" i="13" s="1"/>
  <c r="AF37" i="13" s="1"/>
  <c r="AH16" i="13" l="1"/>
  <c r="AH17" i="13" s="1"/>
  <c r="AH37" i="13" s="1"/>
  <c r="L16" i="13"/>
  <c r="AJ16" i="13" l="1"/>
  <c r="AJ17" i="13" s="1"/>
  <c r="AJ37" i="13" s="1"/>
  <c r="L17" i="13"/>
  <c r="L37" i="13" s="1"/>
  <c r="N16" i="13"/>
  <c r="N17" i="13" s="1"/>
  <c r="N37" i="13" s="1"/>
  <c r="AL16" i="13" l="1"/>
  <c r="AL17" i="13" s="1"/>
  <c r="AL37" i="13" s="1"/>
  <c r="P16" i="13"/>
  <c r="P17" i="13" s="1"/>
  <c r="P37" i="13" s="1"/>
  <c r="AN16" i="13" l="1"/>
  <c r="AN17" i="13" s="1"/>
  <c r="AN37" i="13" s="1"/>
  <c r="R16" i="13"/>
  <c r="R17" i="13" s="1"/>
  <c r="R37" i="13" s="1"/>
  <c r="T16" i="13" l="1"/>
  <c r="T17" i="13" s="1"/>
  <c r="T37" i="13" s="1"/>
  <c r="AP16" i="13"/>
  <c r="AP17" i="13" s="1"/>
  <c r="AP37" i="13" s="1"/>
  <c r="V16" i="13" l="1"/>
  <c r="V17" i="13" s="1"/>
  <c r="V37" i="13" s="1"/>
  <c r="AR16" i="13"/>
  <c r="AR17" i="13" s="1"/>
  <c r="AR37" i="13" s="1"/>
  <c r="X16" i="13" l="1"/>
  <c r="X17" i="13" s="1"/>
  <c r="X37" i="13" s="1"/>
  <c r="AT16" i="13"/>
  <c r="AT17" i="13" s="1"/>
  <c r="AT37" i="13" s="1"/>
  <c r="AV16" i="13" l="1"/>
  <c r="AV17" i="13" s="1"/>
  <c r="AV37" i="13" s="1"/>
  <c r="Z16" i="13"/>
  <c r="Z17" i="13" s="1"/>
  <c r="Z37" i="13" s="1"/>
  <c r="AB16" i="13" l="1"/>
  <c r="AB17" i="13" s="1"/>
  <c r="AB37" i="13" s="1"/>
  <c r="AD16" i="13" l="1"/>
  <c r="G11" i="10" s="1"/>
  <c r="F11" i="10"/>
  <c r="C16" i="5" s="1"/>
  <c r="F12" i="10" l="1"/>
  <c r="F33" i="10" s="1"/>
  <c r="F36" i="10" s="1"/>
  <c r="F38" i="10" s="1"/>
  <c r="AD17" i="13"/>
  <c r="AD37" i="13" s="1"/>
  <c r="G12" i="10"/>
  <c r="G33" i="10" s="1"/>
  <c r="G36" i="10" s="1"/>
  <c r="H11" i="10"/>
  <c r="D16" i="5"/>
  <c r="G38" i="10" l="1"/>
  <c r="E16" i="5"/>
  <c r="H12" i="10"/>
  <c r="H33" i="10" s="1"/>
  <c r="H36" i="10" s="1"/>
  <c r="I11" i="10"/>
  <c r="F41" i="10"/>
  <c r="F43" i="10" s="1"/>
  <c r="C19" i="5"/>
  <c r="C20" i="5" s="1"/>
  <c r="C26" i="5" s="1"/>
  <c r="C28" i="5" s="1"/>
  <c r="C29" i="5" s="1"/>
  <c r="H38" i="10" l="1"/>
  <c r="J11" i="10"/>
  <c r="I12" i="10"/>
  <c r="I33" i="10" s="1"/>
  <c r="I36" i="10" s="1"/>
  <c r="F16" i="5"/>
  <c r="G41" i="10"/>
  <c r="G43" i="10" s="1"/>
  <c r="D19" i="5"/>
  <c r="D20" i="5" s="1"/>
  <c r="D26" i="5" s="1"/>
  <c r="D28" i="5" s="1"/>
  <c r="D29" i="5" s="1"/>
  <c r="H41" i="10" l="1"/>
  <c r="H43" i="10" s="1"/>
  <c r="E19" i="5"/>
  <c r="E20" i="5" s="1"/>
  <c r="E26" i="5" s="1"/>
  <c r="E28" i="5" s="1"/>
  <c r="E29" i="5" s="1"/>
  <c r="I38" i="10"/>
  <c r="G16" i="5"/>
  <c r="J12" i="10"/>
  <c r="J33" i="10" s="1"/>
  <c r="J36" i="10" s="1"/>
  <c r="J38" i="10" l="1"/>
  <c r="F19" i="5"/>
  <c r="F20" i="5" s="1"/>
  <c r="F26" i="5" s="1"/>
  <c r="F28" i="5" s="1"/>
  <c r="F29" i="5" s="1"/>
  <c r="I41" i="10"/>
  <c r="I43" i="10" s="1"/>
  <c r="G19" i="5" l="1"/>
  <c r="G20" i="5" s="1"/>
  <c r="G26" i="5" s="1"/>
  <c r="G28" i="5" s="1"/>
  <c r="G29" i="5" s="1"/>
  <c r="J41" i="10"/>
  <c r="J43" i="10" s="1"/>
</calcChain>
</file>

<file path=xl/sharedStrings.xml><?xml version="1.0" encoding="utf-8"?>
<sst xmlns="http://schemas.openxmlformats.org/spreadsheetml/2006/main" count="333" uniqueCount="212">
  <si>
    <t>Items</t>
  </si>
  <si>
    <t>Expenditure</t>
  </si>
  <si>
    <t>Total</t>
  </si>
  <si>
    <t>Owners investment</t>
  </si>
  <si>
    <t>General Assumptions</t>
  </si>
  <si>
    <t>Tax Rate</t>
  </si>
  <si>
    <t>Investment</t>
  </si>
  <si>
    <t>Loan Repayment</t>
  </si>
  <si>
    <t xml:space="preserve">Loan </t>
  </si>
  <si>
    <t>Operating Margin</t>
  </si>
  <si>
    <t>EBITDA</t>
  </si>
  <si>
    <t>Interest</t>
  </si>
  <si>
    <t>Depreciation</t>
  </si>
  <si>
    <t>Net Profit</t>
  </si>
  <si>
    <t>Total Capital</t>
  </si>
  <si>
    <t>Capital Framework</t>
  </si>
  <si>
    <t>Insurance</t>
  </si>
  <si>
    <t>Revenue</t>
  </si>
  <si>
    <t>Startup Expenses</t>
  </si>
  <si>
    <t>Cash Flow</t>
  </si>
  <si>
    <t>Starting Balance</t>
  </si>
  <si>
    <t>Cash From Operations</t>
  </si>
  <si>
    <t>Additional Cash Received</t>
  </si>
  <si>
    <t>Lenders' Fund</t>
  </si>
  <si>
    <t>Owner's Investment</t>
  </si>
  <si>
    <t>Expenditures</t>
  </si>
  <si>
    <t>Expenditures from operations</t>
  </si>
  <si>
    <t>Interest expense</t>
  </si>
  <si>
    <t>Tax incurred</t>
  </si>
  <si>
    <t>Additional Cash Spent</t>
  </si>
  <si>
    <t>Repayments</t>
  </si>
  <si>
    <t>Startup expenses</t>
  </si>
  <si>
    <t>Owners drawings</t>
  </si>
  <si>
    <t>Sub-total</t>
  </si>
  <si>
    <t>Net Cash Flow</t>
  </si>
  <si>
    <t>Cash Balance</t>
  </si>
  <si>
    <t>Total Expenditures</t>
  </si>
  <si>
    <t>Total Cash Inflow</t>
  </si>
  <si>
    <t>Other Expense Total</t>
  </si>
  <si>
    <t>Working Capital</t>
  </si>
  <si>
    <t>Leasehold Improvements &amp; Construction</t>
  </si>
  <si>
    <t>Equipment and Fixtures</t>
  </si>
  <si>
    <t>Initial Inventory</t>
  </si>
  <si>
    <t>Marketing and Promotions</t>
  </si>
  <si>
    <t>Signage and Branding</t>
  </si>
  <si>
    <t>Grand Opening Costs</t>
  </si>
  <si>
    <t>Professional Fees and Licenses</t>
  </si>
  <si>
    <t>Training and Development</t>
  </si>
  <si>
    <t>Professional Fees</t>
  </si>
  <si>
    <t>Office &amp; General</t>
  </si>
  <si>
    <t>License &amp; Taxes</t>
  </si>
  <si>
    <t>Security</t>
  </si>
  <si>
    <t>Payroll Expenses</t>
  </si>
  <si>
    <t>Rent &amp; CAM</t>
  </si>
  <si>
    <t>Utilities</t>
  </si>
  <si>
    <t>Operator-Manager</t>
  </si>
  <si>
    <t>Total Payroll Cost per Week</t>
  </si>
  <si>
    <t>Operating Hours</t>
  </si>
  <si>
    <t>Technology Configuration</t>
  </si>
  <si>
    <t xml:space="preserve">Design and Architect </t>
  </si>
  <si>
    <t>Real Estate Brockage Fee</t>
  </si>
  <si>
    <t>Franchise Fee</t>
  </si>
  <si>
    <t>Computer Hardware</t>
  </si>
  <si>
    <t>Advance Rent</t>
  </si>
  <si>
    <t>Security System</t>
  </si>
  <si>
    <t xml:space="preserve">      Soft Costs</t>
  </si>
  <si>
    <t xml:space="preserve">      Hard Costs</t>
  </si>
  <si>
    <t xml:space="preserve"> </t>
  </si>
  <si>
    <t>P&amp;L Projections</t>
  </si>
  <si>
    <t>Yr 1</t>
  </si>
  <si>
    <t>Yr 2</t>
  </si>
  <si>
    <t>Yr 3</t>
  </si>
  <si>
    <t>Yr 4</t>
  </si>
  <si>
    <t>Yr 5</t>
  </si>
  <si>
    <t>COGS</t>
  </si>
  <si>
    <t>Shipping Costs</t>
  </si>
  <si>
    <t xml:space="preserve">Payroll Costs </t>
  </si>
  <si>
    <t>Gross Controllable Contribution</t>
  </si>
  <si>
    <t>Operating Costs</t>
  </si>
  <si>
    <t>Management Fees</t>
  </si>
  <si>
    <t>Accounting</t>
  </si>
  <si>
    <t>Auto</t>
  </si>
  <si>
    <t>Advertising</t>
  </si>
  <si>
    <t>Telephone</t>
  </si>
  <si>
    <t>Occupancy Costs</t>
  </si>
  <si>
    <t>Total Wages</t>
  </si>
  <si>
    <t>Total Payroll Cost</t>
  </si>
  <si>
    <t>Occupancy Cost Analysis</t>
  </si>
  <si>
    <t>Square Footage</t>
  </si>
  <si>
    <t>Base Rent</t>
  </si>
  <si>
    <t>CAM (Additional Rent)</t>
  </si>
  <si>
    <t>Tax</t>
  </si>
  <si>
    <t>MKT</t>
  </si>
  <si>
    <t>HVAC</t>
  </si>
  <si>
    <t>Base Total</t>
  </si>
  <si>
    <t>Total Operating Costs</t>
  </si>
  <si>
    <t>Total Selling Costs</t>
  </si>
  <si>
    <t>Interest Rate (Loan)</t>
  </si>
  <si>
    <t>Assumptions</t>
  </si>
  <si>
    <t>Store:</t>
  </si>
  <si>
    <t>Franchisee:</t>
  </si>
  <si>
    <t>Date Updated:</t>
  </si>
  <si>
    <t xml:space="preserve">Address: </t>
  </si>
  <si>
    <t xml:space="preserve">Target Opening: </t>
  </si>
  <si>
    <t>Balance sheet</t>
  </si>
  <si>
    <t>ASSETS</t>
  </si>
  <si>
    <t>Current Asset</t>
  </si>
  <si>
    <t>Cash and Cash Equivalent</t>
  </si>
  <si>
    <t>Account Receivables</t>
  </si>
  <si>
    <t>Inventories</t>
  </si>
  <si>
    <t>Total Current Asset</t>
  </si>
  <si>
    <t>Other non current Asset</t>
  </si>
  <si>
    <t>LIABILITY AND EQUITY</t>
  </si>
  <si>
    <t>Current Liability</t>
  </si>
  <si>
    <t>Account Payables</t>
  </si>
  <si>
    <t>Deferred Revenue</t>
  </si>
  <si>
    <t>Total current liabilities</t>
  </si>
  <si>
    <t>Equity</t>
  </si>
  <si>
    <t>Total Liabilities</t>
  </si>
  <si>
    <t>Other</t>
  </si>
  <si>
    <t>Less: accumulated depreciation</t>
  </si>
  <si>
    <t>Computer Equipment</t>
  </si>
  <si>
    <t>Prepaid Rent</t>
  </si>
  <si>
    <t>Equipment</t>
  </si>
  <si>
    <t xml:space="preserve">LeaseHolds </t>
  </si>
  <si>
    <t>Fixed Asset</t>
  </si>
  <si>
    <t>Total Fixed Asset</t>
  </si>
  <si>
    <t xml:space="preserve">  Total Asset</t>
  </si>
  <si>
    <t>Long Term Liabiities</t>
  </si>
  <si>
    <t>Loan Due (12 months)</t>
  </si>
  <si>
    <t>Income Tax Payable</t>
  </si>
  <si>
    <t>GST Payable</t>
  </si>
  <si>
    <t>Long Term Debt (CSBL)</t>
  </si>
  <si>
    <t>Index</t>
  </si>
  <si>
    <t>Net Operating Profit (NOP)</t>
  </si>
  <si>
    <t xml:space="preserve">% Rent </t>
  </si>
  <si>
    <t>% Rent Breakpoint</t>
  </si>
  <si>
    <t>Other Long Term Liabilities</t>
  </si>
  <si>
    <t xml:space="preserve">   Total Long Term Liabilities</t>
  </si>
  <si>
    <t>Term</t>
  </si>
  <si>
    <t>Total Liabilities &amp; Equity</t>
  </si>
  <si>
    <t xml:space="preserve">Monday </t>
  </si>
  <si>
    <t xml:space="preserve">Tuesday </t>
  </si>
  <si>
    <t>Wednesday</t>
  </si>
  <si>
    <t>Thursday</t>
  </si>
  <si>
    <t>Friday</t>
  </si>
  <si>
    <t>Saturday</t>
  </si>
  <si>
    <t>Sunday</t>
  </si>
  <si>
    <t>Total Weekly Operating Hours</t>
  </si>
  <si>
    <t>Payroll Cost Analysis - Average Monthly</t>
  </si>
  <si>
    <t>Rate</t>
  </si>
  <si>
    <t>Wkly Hours</t>
  </si>
  <si>
    <r>
      <t xml:space="preserve">Weeks per Month </t>
    </r>
    <r>
      <rPr>
        <i/>
        <sz val="12"/>
        <rFont val="Calibri"/>
        <family val="2"/>
        <scheme val="minor"/>
      </rPr>
      <t>(52/12)</t>
    </r>
  </si>
  <si>
    <t>Paid Hours</t>
  </si>
  <si>
    <t>Head Count per Op Hour</t>
  </si>
  <si>
    <t>Variable Rent (If Required)</t>
  </si>
  <si>
    <t>Additional Rent (ie: Storage Room)</t>
  </si>
  <si>
    <t xml:space="preserve">Selling Platforms </t>
  </si>
  <si>
    <t>Retail %</t>
  </si>
  <si>
    <t>eBay Selling Costs</t>
  </si>
  <si>
    <t xml:space="preserve">Shipping </t>
  </si>
  <si>
    <t>Avg Order</t>
  </si>
  <si>
    <t>Orders</t>
  </si>
  <si>
    <t>Employee 1</t>
  </si>
  <si>
    <t>Employee 2</t>
  </si>
  <si>
    <t>Employee 3</t>
  </si>
  <si>
    <t>Senior Buyer</t>
  </si>
  <si>
    <t>Google Ad Words</t>
  </si>
  <si>
    <t>Prime</t>
  </si>
  <si>
    <t>See Below</t>
  </si>
  <si>
    <t xml:space="preserve">Additional Operating Cash Added </t>
  </si>
  <si>
    <t>Able to borrow 90% of total</t>
  </si>
  <si>
    <t>Able to borrow 90% of total to a max of $150,000</t>
  </si>
  <si>
    <t>FF</t>
  </si>
  <si>
    <t>Balance Sheet</t>
  </si>
  <si>
    <t>LH</t>
  </si>
  <si>
    <t>EQ</t>
  </si>
  <si>
    <t>CEQ</t>
  </si>
  <si>
    <t>IN</t>
  </si>
  <si>
    <t>EX</t>
  </si>
  <si>
    <t>Deficit</t>
  </si>
  <si>
    <t>Telephone &amp; Internet &amp; Cameras</t>
  </si>
  <si>
    <t>Build Out 50% at $54805</t>
  </si>
  <si>
    <t>From Ken's Invoice</t>
  </si>
  <si>
    <t>Notes</t>
  </si>
  <si>
    <t>$50000 LOC from Elaine</t>
  </si>
  <si>
    <t>170,000 Currently released at 90%</t>
  </si>
  <si>
    <t>Did we pay 20k for first franchise?</t>
  </si>
  <si>
    <t>3 computers 2 id scanner</t>
  </si>
  <si>
    <t>Included with Rogers</t>
  </si>
  <si>
    <t>First store 40k</t>
  </si>
  <si>
    <t>Feb</t>
  </si>
  <si>
    <t xml:space="preserve">March </t>
  </si>
  <si>
    <t>April</t>
  </si>
  <si>
    <t>May</t>
  </si>
  <si>
    <t>June</t>
  </si>
  <si>
    <t>Total from TD is $257,131.80</t>
  </si>
  <si>
    <t>From TD Bank</t>
  </si>
  <si>
    <t xml:space="preserve"> What Needed Canada Small Business Loan</t>
  </si>
  <si>
    <t>Margin</t>
  </si>
  <si>
    <t>ProjectedRevenue</t>
  </si>
  <si>
    <t>January</t>
  </si>
  <si>
    <t>Projected</t>
  </si>
  <si>
    <t>Actual</t>
  </si>
  <si>
    <t>July</t>
  </si>
  <si>
    <t>Aug</t>
  </si>
  <si>
    <t>Sept</t>
  </si>
  <si>
    <t>Nov</t>
  </si>
  <si>
    <t>Dec</t>
  </si>
  <si>
    <t>Royalties (6%)</t>
  </si>
  <si>
    <t>Marketing Fund (1%)</t>
  </si>
  <si>
    <t>Technology Fee (2%)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</si>
</sst>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&quot;$&quot;#,##0_);\(&quot;$&quot;#,##0\)"/>
    <numFmt numFmtId="165" formatCode="&quot;$&quot;#,##0.00_);[Red]\(&quot;$&quot;#,##0.00\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[$NGN]\ #,##0.00"/>
    <numFmt numFmtId="170" formatCode="_(* #,##0_);_(* \(#,##0\);_(* &quot;-&quot;??_);_(@_)"/>
    <numFmt numFmtId="171" formatCode="[$₦-466]\ #,##0.00"/>
    <numFmt numFmtId="172" formatCode="&quot;$&quot;#,##0"/>
    <numFmt numFmtId="173" formatCode="0.0%"/>
    <numFmt numFmtId="174" formatCode="_(* #,##0.00000_);_(* \(#,##0.00000\);_(* &quot;-&quot;?????_);_(@_)"/>
    <numFmt numFmtId="175" formatCode="_-* #,##0_-;\-* #,##0_-;_-* &quot;-&quot;??_-;_-@_-"/>
    <numFmt numFmtId="176" formatCode="&quot;$&quot;#,##0.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b/>
      <sz val="11"/>
      <color theme="0"/>
      <name val="Calibri"/>
      <family val="2"/>
    </font>
    <font>
      <b/>
      <sz val="12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2"/>
      <name val="Calibri"/>
      <family val="2"/>
      <scheme val="minor"/>
    </font>
    <font>
      <sz val="11"/>
      <color theme="0"/>
      <name val="Calibri"/>
      <family val="2"/>
    </font>
    <font>
      <b/>
      <sz val="11"/>
      <name val="Calibri"/>
      <family val="2"/>
      <scheme val="minor"/>
    </font>
    <font>
      <i/>
      <sz val="12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18"/>
      <name val="Calibri"/>
      <family val="2"/>
      <scheme val="minor"/>
    </font>
    <font>
      <b/>
      <i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</font>
    <font>
      <b/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1F3864"/>
        <bgColor rgb="FF1F3864"/>
      </patternFill>
    </fill>
    <fill>
      <patternFill patternType="solid">
        <fgColor indexed="2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1" fillId="0" borderId="0"/>
    <xf numFmtId="168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5" fillId="0" borderId="0"/>
    <xf numFmtId="167" fontId="15" fillId="0" borderId="0" applyFont="0" applyFill="0" applyBorder="0" applyAlignment="0" applyProtection="0"/>
  </cellStyleXfs>
  <cellXfs count="224">
    <xf numFmtId="0" fontId="0" fillId="0" borderId="0" xfId="0"/>
    <xf numFmtId="169" fontId="0" fillId="0" borderId="0" xfId="0" applyNumberFormat="1" applyAlignment="1">
      <alignment horizontal="left"/>
    </xf>
    <xf numFmtId="0" fontId="0" fillId="3" borderId="0" xfId="0" applyFill="1"/>
    <xf numFmtId="0" fontId="0" fillId="4" borderId="4" xfId="0" applyFill="1" applyBorder="1"/>
    <xf numFmtId="0" fontId="2" fillId="4" borderId="2" xfId="0" applyFont="1" applyFill="1" applyBorder="1"/>
    <xf numFmtId="0" fontId="0" fillId="5" borderId="15" xfId="0" applyFill="1" applyBorder="1"/>
    <xf numFmtId="0" fontId="0" fillId="4" borderId="15" xfId="0" applyFill="1" applyBorder="1"/>
    <xf numFmtId="0" fontId="2" fillId="4" borderId="13" xfId="0" applyFont="1" applyFill="1" applyBorder="1"/>
    <xf numFmtId="0" fontId="0" fillId="4" borderId="17" xfId="0" applyFill="1" applyBorder="1"/>
    <xf numFmtId="0" fontId="2" fillId="4" borderId="2" xfId="0" applyFont="1" applyFill="1" applyBorder="1" applyAlignment="1">
      <alignment horizontal="center"/>
    </xf>
    <xf numFmtId="0" fontId="2" fillId="4" borderId="14" xfId="0" applyFont="1" applyFill="1" applyBorder="1"/>
    <xf numFmtId="171" fontId="0" fillId="5" borderId="10" xfId="0" applyNumberFormat="1" applyFill="1" applyBorder="1"/>
    <xf numFmtId="171" fontId="2" fillId="5" borderId="10" xfId="0" applyNumberFormat="1" applyFont="1" applyFill="1" applyBorder="1" applyAlignment="1">
      <alignment horizontal="center"/>
    </xf>
    <xf numFmtId="172" fontId="2" fillId="2" borderId="7" xfId="0" applyNumberFormat="1" applyFont="1" applyFill="1" applyBorder="1" applyAlignment="1">
      <alignment horizontal="left"/>
    </xf>
    <xf numFmtId="172" fontId="0" fillId="4" borderId="1" xfId="0" applyNumberFormat="1" applyFill="1" applyBorder="1" applyAlignment="1">
      <alignment horizontal="left"/>
    </xf>
    <xf numFmtId="172" fontId="0" fillId="4" borderId="11" xfId="0" applyNumberFormat="1" applyFill="1" applyBorder="1" applyAlignment="1">
      <alignment horizontal="left"/>
    </xf>
    <xf numFmtId="172" fontId="0" fillId="4" borderId="12" xfId="0" applyNumberFormat="1" applyFill="1" applyBorder="1" applyAlignment="1">
      <alignment horizontal="left"/>
    </xf>
    <xf numFmtId="172" fontId="2" fillId="2" borderId="16" xfId="0" applyNumberFormat="1" applyFont="1" applyFill="1" applyBorder="1" applyAlignment="1">
      <alignment horizontal="left"/>
    </xf>
    <xf numFmtId="0" fontId="0" fillId="5" borderId="23" xfId="0" applyFill="1" applyBorder="1"/>
    <xf numFmtId="0" fontId="0" fillId="4" borderId="29" xfId="0" applyFill="1" applyBorder="1"/>
    <xf numFmtId="0" fontId="0" fillId="4" borderId="30" xfId="0" applyFill="1" applyBorder="1"/>
    <xf numFmtId="0" fontId="0" fillId="4" borderId="28" xfId="0" applyFill="1" applyBorder="1"/>
    <xf numFmtId="0" fontId="0" fillId="5" borderId="22" xfId="0" applyFill="1" applyBorder="1"/>
    <xf numFmtId="0" fontId="2" fillId="2" borderId="6" xfId="0" applyFont="1" applyFill="1" applyBorder="1"/>
    <xf numFmtId="172" fontId="2" fillId="2" borderId="8" xfId="0" applyNumberFormat="1" applyFont="1" applyFill="1" applyBorder="1" applyAlignment="1">
      <alignment horizontal="left"/>
    </xf>
    <xf numFmtId="0" fontId="0" fillId="4" borderId="26" xfId="0" applyFill="1" applyBorder="1"/>
    <xf numFmtId="172" fontId="0" fillId="4" borderId="23" xfId="0" applyNumberFormat="1" applyFill="1" applyBorder="1" applyAlignment="1">
      <alignment horizontal="left"/>
    </xf>
    <xf numFmtId="172" fontId="0" fillId="4" borderId="27" xfId="0" applyNumberFormat="1" applyFill="1" applyBorder="1" applyAlignment="1">
      <alignment horizontal="left"/>
    </xf>
    <xf numFmtId="172" fontId="0" fillId="5" borderId="23" xfId="0" applyNumberFormat="1" applyFill="1" applyBorder="1" applyAlignment="1">
      <alignment horizontal="left"/>
    </xf>
    <xf numFmtId="0" fontId="5" fillId="0" borderId="0" xfId="3" applyFont="1"/>
    <xf numFmtId="0" fontId="6" fillId="7" borderId="32" xfId="4" applyFont="1" applyFill="1" applyBorder="1"/>
    <xf numFmtId="0" fontId="5" fillId="0" borderId="0" xfId="3" applyFont="1" applyAlignment="1">
      <alignment horizontal="left"/>
    </xf>
    <xf numFmtId="0" fontId="5" fillId="0" borderId="0" xfId="3" applyFont="1" applyAlignment="1">
      <alignment horizontal="center"/>
    </xf>
    <xf numFmtId="0" fontId="7" fillId="0" borderId="0" xfId="3" applyFont="1"/>
    <xf numFmtId="0" fontId="5" fillId="0" borderId="0" xfId="3" applyFont="1" applyAlignment="1">
      <alignment horizontal="right"/>
    </xf>
    <xf numFmtId="0" fontId="4" fillId="0" borderId="0" xfId="3"/>
    <xf numFmtId="0" fontId="2" fillId="5" borderId="22" xfId="0" applyFont="1" applyFill="1" applyBorder="1"/>
    <xf numFmtId="0" fontId="2" fillId="2" borderId="34" xfId="0" applyFont="1" applyFill="1" applyBorder="1"/>
    <xf numFmtId="0" fontId="3" fillId="5" borderId="22" xfId="0" applyFont="1" applyFill="1" applyBorder="1"/>
    <xf numFmtId="172" fontId="0" fillId="4" borderId="31" xfId="0" applyNumberFormat="1" applyFill="1" applyBorder="1" applyAlignment="1">
      <alignment horizontal="left"/>
    </xf>
    <xf numFmtId="0" fontId="2" fillId="2" borderId="35" xfId="0" applyFont="1" applyFill="1" applyBorder="1"/>
    <xf numFmtId="172" fontId="2" fillId="2" borderId="36" xfId="0" applyNumberFormat="1" applyFont="1" applyFill="1" applyBorder="1" applyAlignment="1">
      <alignment horizontal="left"/>
    </xf>
    <xf numFmtId="172" fontId="2" fillId="2" borderId="37" xfId="0" applyNumberFormat="1" applyFont="1" applyFill="1" applyBorder="1" applyAlignment="1">
      <alignment horizontal="left"/>
    </xf>
    <xf numFmtId="3" fontId="0" fillId="0" borderId="0" xfId="0" applyNumberFormat="1"/>
    <xf numFmtId="168" fontId="2" fillId="4" borderId="13" xfId="1" applyFont="1" applyFill="1" applyBorder="1" applyAlignment="1">
      <alignment horizontal="left"/>
    </xf>
    <xf numFmtId="168" fontId="0" fillId="4" borderId="3" xfId="1" applyFont="1" applyFill="1" applyBorder="1" applyAlignment="1">
      <alignment horizontal="left"/>
    </xf>
    <xf numFmtId="168" fontId="0" fillId="4" borderId="4" xfId="1" applyFont="1" applyFill="1" applyBorder="1" applyAlignment="1">
      <alignment horizontal="left"/>
    </xf>
    <xf numFmtId="168" fontId="2" fillId="4" borderId="2" xfId="1" applyFont="1" applyFill="1" applyBorder="1" applyAlignment="1">
      <alignment horizontal="left"/>
    </xf>
    <xf numFmtId="0" fontId="8" fillId="4" borderId="15" xfId="0" applyFont="1" applyFill="1" applyBorder="1" applyAlignment="1">
      <alignment horizontal="right"/>
    </xf>
    <xf numFmtId="0" fontId="9" fillId="4" borderId="4" xfId="0" applyFont="1" applyFill="1" applyBorder="1"/>
    <xf numFmtId="168" fontId="8" fillId="4" borderId="4" xfId="1" applyFont="1" applyFill="1" applyBorder="1" applyAlignment="1">
      <alignment horizontal="right"/>
    </xf>
    <xf numFmtId="166" fontId="9" fillId="0" borderId="0" xfId="3" applyNumberFormat="1" applyFont="1"/>
    <xf numFmtId="0" fontId="7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7" fillId="0" borderId="0" xfId="3" applyFont="1" applyAlignment="1">
      <alignment horizontal="left"/>
    </xf>
    <xf numFmtId="0" fontId="11" fillId="7" borderId="40" xfId="4" applyFont="1" applyFill="1" applyBorder="1"/>
    <xf numFmtId="0" fontId="11" fillId="7" borderId="41" xfId="4" applyFont="1" applyFill="1" applyBorder="1"/>
    <xf numFmtId="0" fontId="6" fillId="7" borderId="42" xfId="4" applyFont="1" applyFill="1" applyBorder="1" applyAlignment="1">
      <alignment horizontal="center"/>
    </xf>
    <xf numFmtId="166" fontId="5" fillId="0" borderId="0" xfId="3" applyNumberFormat="1" applyFont="1"/>
    <xf numFmtId="0" fontId="5" fillId="8" borderId="43" xfId="3" applyFont="1" applyFill="1" applyBorder="1" applyAlignment="1">
      <alignment horizontal="center"/>
    </xf>
    <xf numFmtId="9" fontId="5" fillId="0" borderId="0" xfId="6" applyFont="1" applyFill="1" applyBorder="1"/>
    <xf numFmtId="166" fontId="7" fillId="0" borderId="0" xfId="3" applyNumberFormat="1" applyFont="1"/>
    <xf numFmtId="0" fontId="7" fillId="8" borderId="33" xfId="3" applyFont="1" applyFill="1" applyBorder="1" applyAlignment="1">
      <alignment horizontal="center"/>
    </xf>
    <xf numFmtId="9" fontId="7" fillId="0" borderId="0" xfId="6" applyFont="1" applyBorder="1"/>
    <xf numFmtId="9" fontId="5" fillId="0" borderId="0" xfId="6" applyFont="1" applyBorder="1"/>
    <xf numFmtId="173" fontId="7" fillId="0" borderId="0" xfId="3" applyNumberFormat="1" applyFont="1"/>
    <xf numFmtId="166" fontId="7" fillId="8" borderId="43" xfId="3" applyNumberFormat="1" applyFont="1" applyFill="1" applyBorder="1" applyAlignment="1">
      <alignment horizontal="center"/>
    </xf>
    <xf numFmtId="166" fontId="12" fillId="0" borderId="20" xfId="3" applyNumberFormat="1" applyFont="1" applyBorder="1"/>
    <xf numFmtId="0" fontId="7" fillId="8" borderId="43" xfId="3" applyFont="1" applyFill="1" applyBorder="1" applyAlignment="1">
      <alignment horizontal="center"/>
    </xf>
    <xf numFmtId="174" fontId="7" fillId="0" borderId="0" xfId="3" applyNumberFormat="1" applyFont="1"/>
    <xf numFmtId="9" fontId="7" fillId="0" borderId="0" xfId="6" applyFont="1" applyFill="1" applyBorder="1"/>
    <xf numFmtId="173" fontId="5" fillId="0" borderId="0" xfId="6" applyNumberFormat="1" applyFont="1" applyFill="1" applyBorder="1"/>
    <xf numFmtId="173" fontId="5" fillId="8" borderId="43" xfId="3" applyNumberFormat="1" applyFont="1" applyFill="1" applyBorder="1" applyAlignment="1">
      <alignment horizontal="center"/>
    </xf>
    <xf numFmtId="173" fontId="5" fillId="8" borderId="43" xfId="6" applyNumberFormat="1" applyFont="1" applyFill="1" applyBorder="1" applyAlignment="1">
      <alignment horizontal="center"/>
    </xf>
    <xf numFmtId="9" fontId="5" fillId="0" borderId="0" xfId="2" applyFont="1" applyBorder="1"/>
    <xf numFmtId="173" fontId="5" fillId="0" borderId="0" xfId="3" applyNumberFormat="1" applyFont="1"/>
    <xf numFmtId="166" fontId="7" fillId="0" borderId="19" xfId="3" applyNumberFormat="1" applyFont="1" applyBorder="1"/>
    <xf numFmtId="38" fontId="7" fillId="0" borderId="45" xfId="3" applyNumberFormat="1" applyFont="1" applyBorder="1"/>
    <xf numFmtId="164" fontId="5" fillId="8" borderId="43" xfId="3" applyNumberFormat="1" applyFont="1" applyFill="1" applyBorder="1" applyAlignment="1">
      <alignment horizontal="center"/>
    </xf>
    <xf numFmtId="166" fontId="5" fillId="8" borderId="33" xfId="3" applyNumberFormat="1" applyFont="1" applyFill="1" applyBorder="1" applyAlignment="1">
      <alignment horizontal="center"/>
    </xf>
    <xf numFmtId="0" fontId="12" fillId="0" borderId="0" xfId="3" applyFont="1"/>
    <xf numFmtId="166" fontId="12" fillId="0" borderId="19" xfId="3" applyNumberFormat="1" applyFont="1" applyBorder="1"/>
    <xf numFmtId="170" fontId="5" fillId="0" borderId="0" xfId="5" applyNumberFormat="1" applyFont="1" applyBorder="1"/>
    <xf numFmtId="0" fontId="1" fillId="0" borderId="0" xfId="7"/>
    <xf numFmtId="175" fontId="5" fillId="0" borderId="0" xfId="8" applyNumberFormat="1" applyFont="1"/>
    <xf numFmtId="175" fontId="5" fillId="0" borderId="19" xfId="3" applyNumberFormat="1" applyFont="1" applyBorder="1"/>
    <xf numFmtId="9" fontId="5" fillId="0" borderId="0" xfId="3" applyNumberFormat="1" applyFont="1" applyAlignment="1">
      <alignment horizontal="center"/>
    </xf>
    <xf numFmtId="175" fontId="5" fillId="0" borderId="0" xfId="8" applyNumberFormat="1" applyFont="1" applyAlignment="1">
      <alignment horizontal="center"/>
    </xf>
    <xf numFmtId="168" fontId="9" fillId="9" borderId="4" xfId="1" applyFont="1" applyFill="1" applyBorder="1" applyAlignment="1">
      <alignment horizontal="left"/>
    </xf>
    <xf numFmtId="168" fontId="9" fillId="9" borderId="5" xfId="1" applyFont="1" applyFill="1" applyBorder="1" applyAlignment="1">
      <alignment horizontal="left"/>
    </xf>
    <xf numFmtId="38" fontId="5" fillId="0" borderId="0" xfId="3" applyNumberFormat="1" applyFont="1"/>
    <xf numFmtId="38" fontId="5" fillId="0" borderId="19" xfId="3" applyNumberFormat="1" applyFont="1" applyBorder="1"/>
    <xf numFmtId="38" fontId="7" fillId="0" borderId="19" xfId="3" applyNumberFormat="1" applyFont="1" applyBorder="1"/>
    <xf numFmtId="38" fontId="7" fillId="0" borderId="12" xfId="3" applyNumberFormat="1" applyFont="1" applyBorder="1"/>
    <xf numFmtId="0" fontId="6" fillId="7" borderId="42" xfId="4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2" fillId="2" borderId="46" xfId="0" applyFont="1" applyFill="1" applyBorder="1"/>
    <xf numFmtId="172" fontId="2" fillId="2" borderId="18" xfId="0" applyNumberFormat="1" applyFont="1" applyFill="1" applyBorder="1" applyAlignment="1">
      <alignment horizontal="left"/>
    </xf>
    <xf numFmtId="172" fontId="2" fillId="2" borderId="24" xfId="0" applyNumberFormat="1" applyFont="1" applyFill="1" applyBorder="1" applyAlignment="1">
      <alignment horizontal="left"/>
    </xf>
    <xf numFmtId="0" fontId="0" fillId="4" borderId="25" xfId="0" applyFill="1" applyBorder="1"/>
    <xf numFmtId="172" fontId="0" fillId="4" borderId="20" xfId="0" applyNumberFormat="1" applyFill="1" applyBorder="1" applyAlignment="1">
      <alignment horizontal="left"/>
    </xf>
    <xf numFmtId="172" fontId="0" fillId="4" borderId="21" xfId="0" applyNumberFormat="1" applyFill="1" applyBorder="1" applyAlignment="1">
      <alignment horizontal="left"/>
    </xf>
    <xf numFmtId="0" fontId="0" fillId="0" borderId="1" xfId="0" applyBorder="1"/>
    <xf numFmtId="0" fontId="0" fillId="0" borderId="9" xfId="0" applyBorder="1"/>
    <xf numFmtId="0" fontId="6" fillId="0" borderId="38" xfId="4" applyFont="1" applyBorder="1"/>
    <xf numFmtId="168" fontId="9" fillId="9" borderId="34" xfId="1" applyFont="1" applyFill="1" applyBorder="1" applyAlignment="1">
      <alignment horizontal="left"/>
    </xf>
    <xf numFmtId="166" fontId="7" fillId="0" borderId="44" xfId="3" applyNumberFormat="1" applyFont="1" applyBorder="1"/>
    <xf numFmtId="170" fontId="0" fillId="0" borderId="0" xfId="1" applyNumberFormat="1" applyFont="1"/>
    <xf numFmtId="39" fontId="16" fillId="0" borderId="0" xfId="3" applyNumberFormat="1" applyFont="1"/>
    <xf numFmtId="0" fontId="17" fillId="0" borderId="0" xfId="3" applyFont="1" applyAlignment="1">
      <alignment horizontal="right"/>
    </xf>
    <xf numFmtId="0" fontId="17" fillId="0" borderId="0" xfId="3" applyFont="1" applyAlignment="1">
      <alignment horizontal="center"/>
    </xf>
    <xf numFmtId="164" fontId="5" fillId="8" borderId="0" xfId="3" applyNumberFormat="1" applyFont="1" applyFill="1" applyAlignment="1">
      <alignment horizontal="center"/>
    </xf>
    <xf numFmtId="173" fontId="9" fillId="8" borderId="43" xfId="2" applyNumberFormat="1" applyFont="1" applyFill="1" applyBorder="1" applyAlignment="1">
      <alignment horizontal="center"/>
    </xf>
    <xf numFmtId="175" fontId="5" fillId="0" borderId="0" xfId="3" applyNumberFormat="1" applyFont="1"/>
    <xf numFmtId="176" fontId="0" fillId="0" borderId="0" xfId="0" applyNumberFormat="1"/>
    <xf numFmtId="9" fontId="0" fillId="0" borderId="0" xfId="0" applyNumberFormat="1"/>
    <xf numFmtId="165" fontId="0" fillId="0" borderId="0" xfId="0" applyNumberFormat="1"/>
    <xf numFmtId="0" fontId="2" fillId="6" borderId="2" xfId="0" applyFont="1" applyFill="1" applyBorder="1"/>
    <xf numFmtId="173" fontId="0" fillId="9" borderId="2" xfId="0" applyNumberFormat="1" applyFill="1" applyBorder="1" applyAlignment="1">
      <alignment horizontal="left"/>
    </xf>
    <xf numFmtId="172" fontId="0" fillId="4" borderId="2" xfId="0" applyNumberFormat="1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0" borderId="2" xfId="0" applyBorder="1"/>
    <xf numFmtId="15" fontId="9" fillId="9" borderId="34" xfId="1" applyNumberFormat="1" applyFont="1" applyFill="1" applyBorder="1" applyAlignment="1">
      <alignment horizontal="left"/>
    </xf>
    <xf numFmtId="0" fontId="18" fillId="0" borderId="0" xfId="0" applyFont="1"/>
    <xf numFmtId="0" fontId="20" fillId="0" borderId="22" xfId="0" applyFont="1" applyBorder="1"/>
    <xf numFmtId="0" fontId="18" fillId="0" borderId="23" xfId="0" applyFont="1" applyBorder="1"/>
    <xf numFmtId="170" fontId="18" fillId="0" borderId="0" xfId="1" applyNumberFormat="1" applyFont="1"/>
    <xf numFmtId="0" fontId="18" fillId="0" borderId="22" xfId="0" applyFont="1" applyBorder="1"/>
    <xf numFmtId="170" fontId="18" fillId="0" borderId="23" xfId="1" applyNumberFormat="1" applyFont="1" applyFill="1" applyBorder="1"/>
    <xf numFmtId="166" fontId="7" fillId="0" borderId="22" xfId="3" applyNumberFormat="1" applyFont="1" applyBorder="1"/>
    <xf numFmtId="166" fontId="5" fillId="0" borderId="23" xfId="3" applyNumberFormat="1" applyFont="1" applyBorder="1"/>
    <xf numFmtId="166" fontId="7" fillId="2" borderId="50" xfId="3" applyNumberFormat="1" applyFont="1" applyFill="1" applyBorder="1"/>
    <xf numFmtId="166" fontId="5" fillId="2" borderId="24" xfId="3" applyNumberFormat="1" applyFont="1" applyFill="1" applyBorder="1"/>
    <xf numFmtId="0" fontId="18" fillId="0" borderId="49" xfId="0" applyFont="1" applyBorder="1"/>
    <xf numFmtId="166" fontId="5" fillId="0" borderId="21" xfId="3" applyNumberFormat="1" applyFont="1" applyBorder="1"/>
    <xf numFmtId="38" fontId="18" fillId="0" borderId="23" xfId="0" applyNumberFormat="1" applyFont="1" applyBorder="1"/>
    <xf numFmtId="166" fontId="5" fillId="0" borderId="22" xfId="3" applyNumberFormat="1" applyFont="1" applyBorder="1"/>
    <xf numFmtId="10" fontId="0" fillId="9" borderId="2" xfId="2" applyNumberFormat="1" applyFont="1" applyFill="1" applyBorder="1" applyAlignment="1">
      <alignment horizontal="left"/>
    </xf>
    <xf numFmtId="166" fontId="5" fillId="0" borderId="0" xfId="3" applyNumberFormat="1" applyFont="1" applyAlignment="1">
      <alignment horizontal="right"/>
    </xf>
    <xf numFmtId="43" fontId="5" fillId="0" borderId="0" xfId="8" applyFont="1"/>
    <xf numFmtId="166" fontId="5" fillId="0" borderId="19" xfId="3" applyNumberFormat="1" applyFont="1" applyBorder="1" applyAlignment="1">
      <alignment horizontal="left"/>
    </xf>
    <xf numFmtId="166" fontId="5" fillId="0" borderId="33" xfId="3" applyNumberFormat="1" applyFont="1" applyBorder="1" applyAlignment="1">
      <alignment horizontal="center"/>
    </xf>
    <xf numFmtId="168" fontId="5" fillId="0" borderId="0" xfId="1" applyFont="1" applyAlignment="1">
      <alignment horizontal="center"/>
    </xf>
    <xf numFmtId="0" fontId="0" fillId="5" borderId="0" xfId="0" applyFill="1"/>
    <xf numFmtId="172" fontId="0" fillId="5" borderId="0" xfId="0" applyNumberFormat="1" applyFill="1" applyAlignment="1">
      <alignment horizontal="left"/>
    </xf>
    <xf numFmtId="172" fontId="0" fillId="4" borderId="0" xfId="0" applyNumberFormat="1" applyFill="1" applyAlignment="1">
      <alignment horizontal="left"/>
    </xf>
    <xf numFmtId="0" fontId="6" fillId="7" borderId="54" xfId="4" applyFont="1" applyFill="1" applyBorder="1" applyAlignment="1">
      <alignment horizontal="center" vertical="center"/>
    </xf>
    <xf numFmtId="0" fontId="6" fillId="7" borderId="55" xfId="4" applyFont="1" applyFill="1" applyBorder="1" applyAlignment="1">
      <alignment horizontal="center" vertical="center"/>
    </xf>
    <xf numFmtId="0" fontId="6" fillId="7" borderId="56" xfId="4" applyFont="1" applyFill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172" fontId="0" fillId="4" borderId="57" xfId="0" applyNumberFormat="1" applyFill="1" applyBorder="1" applyAlignment="1">
      <alignment horizontal="left"/>
    </xf>
    <xf numFmtId="39" fontId="21" fillId="0" borderId="0" xfId="3" applyNumberFormat="1" applyFont="1"/>
    <xf numFmtId="0" fontId="22" fillId="0" borderId="0" xfId="3" applyFont="1"/>
    <xf numFmtId="9" fontId="7" fillId="10" borderId="0" xfId="3" applyNumberFormat="1" applyFont="1" applyFill="1" applyAlignment="1">
      <alignment horizontal="center"/>
    </xf>
    <xf numFmtId="0" fontId="7" fillId="0" borderId="0" xfId="3" applyFont="1" applyAlignment="1">
      <alignment horizontal="right"/>
    </xf>
    <xf numFmtId="176" fontId="7" fillId="10" borderId="0" xfId="1" applyNumberFormat="1" applyFont="1" applyFill="1" applyAlignment="1">
      <alignment horizontal="center"/>
    </xf>
    <xf numFmtId="9" fontId="5" fillId="0" borderId="0" xfId="2" applyFont="1"/>
    <xf numFmtId="0" fontId="2" fillId="6" borderId="0" xfId="0" applyFont="1" applyFill="1"/>
    <xf numFmtId="0" fontId="23" fillId="0" borderId="0" xfId="0" applyFont="1"/>
    <xf numFmtId="173" fontId="5" fillId="9" borderId="43" xfId="6" applyNumberFormat="1" applyFont="1" applyFill="1" applyBorder="1" applyAlignment="1">
      <alignment horizontal="center"/>
    </xf>
    <xf numFmtId="164" fontId="5" fillId="9" borderId="43" xfId="3" applyNumberFormat="1" applyFont="1" applyFill="1" applyBorder="1" applyAlignment="1">
      <alignment horizontal="center"/>
    </xf>
    <xf numFmtId="166" fontId="24" fillId="9" borderId="43" xfId="3" applyNumberFormat="1" applyFont="1" applyFill="1" applyBorder="1" applyAlignment="1">
      <alignment horizontal="center"/>
    </xf>
    <xf numFmtId="166" fontId="5" fillId="9" borderId="51" xfId="3" applyNumberFormat="1" applyFont="1" applyFill="1" applyBorder="1" applyAlignment="1">
      <alignment horizontal="center"/>
    </xf>
    <xf numFmtId="166" fontId="5" fillId="9" borderId="52" xfId="3" applyNumberFormat="1" applyFont="1" applyFill="1" applyBorder="1" applyAlignment="1">
      <alignment horizontal="center"/>
    </xf>
    <xf numFmtId="166" fontId="5" fillId="9" borderId="53" xfId="3" applyNumberFormat="1" applyFont="1" applyFill="1" applyBorder="1" applyAlignment="1">
      <alignment horizontal="center"/>
    </xf>
    <xf numFmtId="166" fontId="5" fillId="9" borderId="33" xfId="3" applyNumberFormat="1" applyFont="1" applyFill="1" applyBorder="1" applyAlignment="1">
      <alignment horizontal="center"/>
    </xf>
    <xf numFmtId="170" fontId="18" fillId="9" borderId="34" xfId="1" applyNumberFormat="1" applyFont="1" applyFill="1" applyBorder="1"/>
    <xf numFmtId="168" fontId="0" fillId="0" borderId="0" xfId="1" applyFont="1"/>
    <xf numFmtId="170" fontId="18" fillId="0" borderId="0" xfId="0" applyNumberFormat="1" applyFont="1"/>
    <xf numFmtId="10" fontId="0" fillId="0" borderId="2" xfId="2" applyNumberFormat="1" applyFont="1" applyFill="1" applyBorder="1" applyAlignment="1">
      <alignment horizontal="left"/>
    </xf>
    <xf numFmtId="0" fontId="6" fillId="7" borderId="38" xfId="4" applyFont="1" applyFill="1" applyBorder="1" applyAlignment="1">
      <alignment vertical="center"/>
    </xf>
    <xf numFmtId="0" fontId="6" fillId="7" borderId="39" xfId="4" applyFont="1" applyFill="1" applyBorder="1" applyAlignment="1">
      <alignment vertical="center"/>
    </xf>
    <xf numFmtId="2" fontId="5" fillId="9" borderId="33" xfId="3" applyNumberFormat="1" applyFont="1" applyFill="1" applyBorder="1" applyAlignment="1">
      <alignment horizontal="center"/>
    </xf>
    <xf numFmtId="0" fontId="6" fillId="7" borderId="38" xfId="4" applyFont="1" applyFill="1" applyBorder="1" applyAlignment="1">
      <alignment horizontal="center"/>
    </xf>
    <xf numFmtId="0" fontId="6" fillId="7" borderId="39" xfId="4" applyFont="1" applyFill="1" applyBorder="1" applyAlignment="1">
      <alignment horizontal="center"/>
    </xf>
    <xf numFmtId="0" fontId="6" fillId="7" borderId="32" xfId="4" applyFont="1" applyFill="1" applyBorder="1" applyAlignment="1">
      <alignment horizontal="left"/>
    </xf>
    <xf numFmtId="0" fontId="6" fillId="7" borderId="42" xfId="4" applyFont="1" applyFill="1" applyBorder="1" applyAlignment="1">
      <alignment horizontal="left"/>
    </xf>
    <xf numFmtId="0" fontId="6" fillId="7" borderId="0" xfId="4" applyFont="1" applyFill="1" applyAlignment="1">
      <alignment horizontal="left"/>
    </xf>
    <xf numFmtId="168" fontId="9" fillId="9" borderId="47" xfId="1" applyFont="1" applyFill="1" applyBorder="1" applyAlignment="1">
      <alignment horizontal="left" vertical="top" wrapText="1"/>
    </xf>
    <xf numFmtId="168" fontId="9" fillId="9" borderId="48" xfId="1" applyFont="1" applyFill="1" applyBorder="1" applyAlignment="1">
      <alignment horizontal="left" vertical="top" wrapText="1"/>
    </xf>
    <xf numFmtId="168" fontId="9" fillId="9" borderId="46" xfId="1" applyFont="1" applyFill="1" applyBorder="1" applyAlignment="1">
      <alignment horizontal="left" vertical="top" wrapText="1"/>
    </xf>
    <xf numFmtId="0" fontId="6" fillId="7" borderId="38" xfId="4" applyFont="1" applyFill="1" applyBorder="1" applyAlignment="1">
      <alignment horizontal="center" vertical="center"/>
    </xf>
    <xf numFmtId="0" fontId="6" fillId="7" borderId="39" xfId="4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left"/>
    </xf>
    <xf numFmtId="0" fontId="8" fillId="2" borderId="9" xfId="0" applyFont="1" applyFill="1" applyBorder="1" applyAlignment="1">
      <alignment horizontal="left"/>
    </xf>
    <xf numFmtId="0" fontId="8" fillId="2" borderId="15" xfId="0" applyFont="1" applyFill="1" applyBorder="1" applyAlignment="1">
      <alignment horizontal="left"/>
    </xf>
    <xf numFmtId="0" fontId="8" fillId="2" borderId="10" xfId="0" applyFont="1" applyFill="1" applyBorder="1" applyAlignment="1">
      <alignment horizontal="left"/>
    </xf>
    <xf numFmtId="0" fontId="20" fillId="0" borderId="22" xfId="0" applyFont="1" applyBorder="1" applyAlignment="1">
      <alignment horizontal="center"/>
    </xf>
    <xf numFmtId="0" fontId="20" fillId="0" borderId="23" xfId="0" applyFont="1" applyBorder="1" applyAlignment="1">
      <alignment horizontal="center"/>
    </xf>
    <xf numFmtId="0" fontId="19" fillId="7" borderId="49" xfId="4" applyFont="1" applyFill="1" applyBorder="1" applyAlignment="1">
      <alignment horizontal="center" vertical="center"/>
    </xf>
    <xf numFmtId="0" fontId="19" fillId="7" borderId="21" xfId="4" applyFont="1" applyFill="1" applyBorder="1" applyAlignment="1">
      <alignment horizontal="center" vertical="center"/>
    </xf>
    <xf numFmtId="10" fontId="5" fillId="0" borderId="0" xfId="3" applyNumberFormat="1" applyFont="1"/>
    <xf numFmtId="173" fontId="9" fillId="8" borderId="0" xfId="2" applyNumberFormat="1" applyFont="1" applyFill="1" applyBorder="1" applyAlignment="1">
      <alignment horizontal="center"/>
    </xf>
    <xf numFmtId="0" fontId="6" fillId="7" borderId="0" xfId="4" applyFont="1" applyFill="1" applyBorder="1"/>
    <xf numFmtId="166" fontId="5" fillId="0" borderId="0" xfId="3" applyNumberFormat="1" applyFont="1" applyBorder="1" applyAlignment="1">
      <alignment horizontal="center"/>
    </xf>
    <xf numFmtId="166" fontId="12" fillId="0" borderId="0" xfId="3" applyNumberFormat="1" applyFont="1" applyBorder="1"/>
    <xf numFmtId="17" fontId="6" fillId="7" borderId="0" xfId="4" applyNumberFormat="1" applyFont="1" applyFill="1" applyBorder="1" applyAlignment="1">
      <alignment horizontal="center" vertical="center"/>
    </xf>
    <xf numFmtId="0" fontId="11" fillId="7" borderId="0" xfId="4" applyFont="1" applyFill="1" applyBorder="1" applyAlignment="1">
      <alignment horizontal="center" vertical="center"/>
    </xf>
    <xf numFmtId="175" fontId="5" fillId="0" borderId="0" xfId="3" applyNumberFormat="1" applyFont="1" applyBorder="1"/>
    <xf numFmtId="0" fontId="5" fillId="11" borderId="0" xfId="3" applyFont="1" applyFill="1"/>
    <xf numFmtId="166" fontId="7" fillId="11" borderId="44" xfId="3" applyNumberFormat="1" applyFont="1" applyFill="1" applyBorder="1"/>
    <xf numFmtId="166" fontId="7" fillId="11" borderId="0" xfId="3" applyNumberFormat="1" applyFont="1" applyFill="1"/>
    <xf numFmtId="166" fontId="9" fillId="11" borderId="0" xfId="3" applyNumberFormat="1" applyFont="1" applyFill="1"/>
    <xf numFmtId="166" fontId="12" fillId="11" borderId="20" xfId="3" applyNumberFormat="1" applyFont="1" applyFill="1" applyBorder="1"/>
    <xf numFmtId="174" fontId="7" fillId="11" borderId="0" xfId="3" applyNumberFormat="1" applyFont="1" applyFill="1"/>
    <xf numFmtId="166" fontId="5" fillId="11" borderId="0" xfId="3" applyNumberFormat="1" applyFont="1" applyFill="1"/>
    <xf numFmtId="166" fontId="7" fillId="11" borderId="19" xfId="3" applyNumberFormat="1" applyFont="1" applyFill="1" applyBorder="1"/>
    <xf numFmtId="173" fontId="5" fillId="11" borderId="0" xfId="3" applyNumberFormat="1" applyFont="1" applyFill="1"/>
    <xf numFmtId="38" fontId="7" fillId="11" borderId="45" xfId="3" applyNumberFormat="1" applyFont="1" applyFill="1" applyBorder="1"/>
    <xf numFmtId="0" fontId="5" fillId="10" borderId="0" xfId="3" applyFont="1" applyFill="1"/>
    <xf numFmtId="166" fontId="7" fillId="10" borderId="44" xfId="3" applyNumberFormat="1" applyFont="1" applyFill="1" applyBorder="1"/>
    <xf numFmtId="166" fontId="7" fillId="10" borderId="0" xfId="3" applyNumberFormat="1" applyFont="1" applyFill="1"/>
    <xf numFmtId="166" fontId="9" fillId="10" borderId="0" xfId="3" applyNumberFormat="1" applyFont="1" applyFill="1"/>
    <xf numFmtId="166" fontId="12" fillId="10" borderId="20" xfId="3" applyNumberFormat="1" applyFont="1" applyFill="1" applyBorder="1"/>
    <xf numFmtId="174" fontId="7" fillId="10" borderId="0" xfId="3" applyNumberFormat="1" applyFont="1" applyFill="1"/>
    <xf numFmtId="166" fontId="5" fillId="10" borderId="0" xfId="3" applyNumberFormat="1" applyFont="1" applyFill="1"/>
    <xf numFmtId="166" fontId="7" fillId="10" borderId="19" xfId="3" applyNumberFormat="1" applyFont="1" applyFill="1" applyBorder="1"/>
    <xf numFmtId="173" fontId="5" fillId="10" borderId="0" xfId="3" applyNumberFormat="1" applyFont="1" applyFill="1"/>
    <xf numFmtId="38" fontId="7" fillId="10" borderId="45" xfId="3" applyNumberFormat="1" applyFont="1" applyFill="1" applyBorder="1"/>
    <xf numFmtId="10" fontId="5" fillId="0" borderId="0" xfId="3" applyNumberFormat="1" applyFont="1" applyAlignment="1">
      <alignment horizontal="left"/>
    </xf>
    <xf numFmtId="10" fontId="5" fillId="8" borderId="43" xfId="3" applyNumberFormat="1" applyFont="1" applyFill="1" applyBorder="1" applyAlignment="1">
      <alignment horizontal="center"/>
    </xf>
    <xf numFmtId="10" fontId="5" fillId="11" borderId="0" xfId="3" applyNumberFormat="1" applyFont="1" applyFill="1"/>
    <xf numFmtId="10" fontId="5" fillId="10" borderId="0" xfId="3" applyNumberFormat="1" applyFont="1" applyFill="1"/>
  </cellXfs>
  <cellStyles count="11">
    <cellStyle name="Comma" xfId="1" builtinId="3"/>
    <cellStyle name="Comma 2" xfId="5" xr:uid="{00000000-0005-0000-0000-000001000000}"/>
    <cellStyle name="Comma 3" xfId="8" xr:uid="{2A06D1E8-2E50-403C-B2F0-466A36247179}"/>
    <cellStyle name="Currency 2" xfId="10" xr:uid="{8E229AFE-7ABD-45BC-9120-889149BA9A03}"/>
    <cellStyle name="Normal" xfId="0" builtinId="0"/>
    <cellStyle name="Normal 2" xfId="3" xr:uid="{00000000-0005-0000-0000-000004000000}"/>
    <cellStyle name="Normal 3" xfId="4" xr:uid="{00000000-0005-0000-0000-000005000000}"/>
    <cellStyle name="Normal 4" xfId="7" xr:uid="{D5CE63A0-7D9B-469E-8157-A7B47E30498B}"/>
    <cellStyle name="Normal 5" xfId="9" xr:uid="{0883D398-E84A-408F-9E10-8A418082E8E0}"/>
    <cellStyle name="Percent" xfId="2" builtinId="5"/>
    <cellStyle name="Percent 2" xfId="6" xr:uid="{54FEC971-6DB4-4498-AA6E-77C18D1187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698500</xdr:colOff>
      <xdr:row>1</xdr:row>
      <xdr:rowOff>57150</xdr:rowOff>
    </xdr:from>
    <xdr:to>
      <xdr:col>2</xdr:col>
      <xdr:colOff>1860231</xdr:colOff>
      <xdr:row>3</xdr:row>
      <xdr:rowOff>176389</xdr:rowOff>
    </xdr:to>
    <xdr:pic>
      <xdr:nvPicPr>
        <xdr:cNvPr id="3" name="Picture 2" descr="Start a PayMore Franchise in 2024 - Entrepreneur">
          <a:extLst>
            <a:ext uri="{FF2B5EF4-FFF2-40B4-BE49-F238E27FC236}">
              <a16:creationId xmlns:a16="http://schemas.microsoft.com/office/drawing/2014/main" id="{B777A7A2-1E46-42E9-84B1-E7515ED1904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739" b="38683"/>
        <a:stretch/>
      </xdr:blipFill>
      <xdr:spPr bwMode="auto">
        <a:xfrm>
          <a:off x="1308100" y="241300"/>
          <a:ext cx="2272981" cy="487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150813</xdr:colOff>
      <xdr:row>0</xdr:row>
      <xdr:rowOff>150813</xdr:rowOff>
    </xdr:from>
    <xdr:to>
      <xdr:col>4</xdr:col>
      <xdr:colOff>169544</xdr:colOff>
      <xdr:row>2</xdr:row>
      <xdr:rowOff>149402</xdr:rowOff>
    </xdr:to>
    <xdr:pic>
      <xdr:nvPicPr>
        <xdr:cNvPr id="2" name="Picture 1" descr="Start a PayMore Franchise in 2024 - Entrepreneur">
          <a:extLst>
            <a:ext uri="{FF2B5EF4-FFF2-40B4-BE49-F238E27FC236}">
              <a16:creationId xmlns:a16="http://schemas.microsoft.com/office/drawing/2014/main" id="{79BFE2E8-F68A-465E-AA27-F6FC4E970D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739" b="38683"/>
        <a:stretch/>
      </xdr:blipFill>
      <xdr:spPr bwMode="auto">
        <a:xfrm>
          <a:off x="277813" y="150813"/>
          <a:ext cx="2272981" cy="487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26F10-080C-4FE1-8553-1ED1D3168968}">
  <dimension ref="B5:C16"/>
  <sheetViews>
    <sheetView workbookViewId="0"/>
  </sheetViews>
  <sheetFormatPr defaultRowHeight="15" x14ac:dyDescent="0.25"/>
  <cols>
    <col min="2" max="2" width="15.85546875" customWidth="1"/>
    <col min="3" max="3" width="39.42578125" customWidth="1"/>
  </cols>
  <sheetData>
    <row r="5" spans="2:3" ht="15.75" thickBot="1" x14ac:dyDescent="0.3"/>
    <row r="6" spans="2:3" ht="15.75" thickBot="1" x14ac:dyDescent="0.3">
      <c r="B6" t="s">
        <v>100</v>
      </c>
      <c r="C6" s="105"/>
    </row>
    <row r="7" spans="2:3" ht="15.75" thickBot="1" x14ac:dyDescent="0.3"/>
    <row r="8" spans="2:3" ht="15.75" thickBot="1" x14ac:dyDescent="0.3">
      <c r="B8" t="s">
        <v>99</v>
      </c>
      <c r="C8" s="105"/>
    </row>
    <row r="9" spans="2:3" ht="15.75" thickBot="1" x14ac:dyDescent="0.3"/>
    <row r="10" spans="2:3" x14ac:dyDescent="0.25">
      <c r="B10" t="s">
        <v>102</v>
      </c>
      <c r="C10" s="179"/>
    </row>
    <row r="11" spans="2:3" x14ac:dyDescent="0.25">
      <c r="C11" s="180"/>
    </row>
    <row r="12" spans="2:3" ht="15.75" thickBot="1" x14ac:dyDescent="0.3">
      <c r="C12" s="181"/>
    </row>
    <row r="13" spans="2:3" ht="15.75" thickBot="1" x14ac:dyDescent="0.3"/>
    <row r="14" spans="2:3" ht="15.75" thickBot="1" x14ac:dyDescent="0.3">
      <c r="B14" t="s">
        <v>101</v>
      </c>
      <c r="C14" s="122"/>
    </row>
    <row r="15" spans="2:3" ht="15.75" thickBot="1" x14ac:dyDescent="0.3"/>
    <row r="16" spans="2:3" ht="15.75" thickBot="1" x14ac:dyDescent="0.3">
      <c r="B16" t="s">
        <v>103</v>
      </c>
      <c r="C16" s="122"/>
    </row>
  </sheetData>
  <mergeCells count="1">
    <mergeCell ref="C10:C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topLeftCell="A2" workbookViewId="0">
      <selection activeCell="C34" sqref="C34"/>
    </sheetView>
  </sheetViews>
  <sheetFormatPr defaultRowHeight="15" x14ac:dyDescent="0.25"/>
  <cols>
    <col min="1" max="1" width="38.7109375" customWidth="1"/>
    <col min="2" max="2" width="18.7109375" bestFit="1" customWidth="1"/>
    <col min="3" max="3" width="40.140625" customWidth="1"/>
    <col min="4" max="4" width="37.85546875" customWidth="1"/>
    <col min="5" max="5" width="12.140625" customWidth="1"/>
    <col min="10" max="10" width="10.42578125" customWidth="1"/>
  </cols>
  <sheetData>
    <row r="1" spans="1:14" ht="18.600000000000001" customHeight="1" x14ac:dyDescent="0.25"/>
    <row r="2" spans="1:14" ht="35.1" customHeight="1" x14ac:dyDescent="0.25">
      <c r="A2" s="182" t="s">
        <v>18</v>
      </c>
      <c r="B2" s="183"/>
    </row>
    <row r="3" spans="1:14" x14ac:dyDescent="0.25">
      <c r="A3" s="4" t="s">
        <v>0</v>
      </c>
      <c r="B3" s="7" t="s">
        <v>1</v>
      </c>
      <c r="C3" t="s">
        <v>174</v>
      </c>
      <c r="D3" t="s">
        <v>184</v>
      </c>
    </row>
    <row r="4" spans="1:14" x14ac:dyDescent="0.25">
      <c r="A4" s="184" t="s">
        <v>66</v>
      </c>
      <c r="B4" s="185"/>
    </row>
    <row r="5" spans="1:14" x14ac:dyDescent="0.25">
      <c r="A5" s="3" t="s">
        <v>58</v>
      </c>
      <c r="B5" s="88">
        <v>7500</v>
      </c>
      <c r="C5" t="s">
        <v>173</v>
      </c>
      <c r="E5" s="171"/>
      <c r="F5" s="172"/>
      <c r="G5" s="171"/>
      <c r="H5" s="172"/>
      <c r="I5" s="171"/>
      <c r="J5" s="172"/>
    </row>
    <row r="6" spans="1:14" x14ac:dyDescent="0.25">
      <c r="A6" s="3" t="s">
        <v>40</v>
      </c>
      <c r="B6" s="88">
        <v>150000</v>
      </c>
      <c r="C6" t="s">
        <v>175</v>
      </c>
      <c r="D6" t="s">
        <v>182</v>
      </c>
      <c r="E6" s="171"/>
      <c r="F6" s="172"/>
      <c r="G6" s="171"/>
      <c r="H6" s="172"/>
      <c r="I6" s="171"/>
      <c r="J6" s="172"/>
    </row>
    <row r="7" spans="1:14" x14ac:dyDescent="0.25">
      <c r="A7" s="3" t="s">
        <v>59</v>
      </c>
      <c r="B7" s="88">
        <v>13000</v>
      </c>
      <c r="C7" t="s">
        <v>175</v>
      </c>
      <c r="D7" t="s">
        <v>183</v>
      </c>
    </row>
    <row r="8" spans="1:14" x14ac:dyDescent="0.25">
      <c r="A8" s="3" t="s">
        <v>60</v>
      </c>
      <c r="B8" s="88">
        <v>15000</v>
      </c>
      <c r="C8" t="s">
        <v>175</v>
      </c>
    </row>
    <row r="9" spans="1:14" x14ac:dyDescent="0.25">
      <c r="A9" s="3" t="s">
        <v>44</v>
      </c>
      <c r="B9" s="88">
        <v>6000</v>
      </c>
      <c r="C9" t="s">
        <v>175</v>
      </c>
    </row>
    <row r="10" spans="1:14" x14ac:dyDescent="0.25">
      <c r="A10" s="3" t="s">
        <v>41</v>
      </c>
      <c r="B10" s="88">
        <v>12000</v>
      </c>
      <c r="C10" t="s">
        <v>176</v>
      </c>
      <c r="N10" s="168"/>
    </row>
    <row r="11" spans="1:14" x14ac:dyDescent="0.25">
      <c r="A11" s="3" t="s">
        <v>62</v>
      </c>
      <c r="B11" s="88">
        <f>1296+631+2155</f>
        <v>4082</v>
      </c>
      <c r="C11" t="s">
        <v>177</v>
      </c>
      <c r="D11" t="s">
        <v>188</v>
      </c>
    </row>
    <row r="12" spans="1:14" x14ac:dyDescent="0.25">
      <c r="A12" s="3" t="s">
        <v>64</v>
      </c>
      <c r="B12" s="88">
        <v>2000</v>
      </c>
      <c r="C12" t="s">
        <v>176</v>
      </c>
      <c r="D12" t="s">
        <v>189</v>
      </c>
    </row>
    <row r="13" spans="1:14" x14ac:dyDescent="0.25">
      <c r="A13" s="186" t="s">
        <v>65</v>
      </c>
      <c r="B13" s="187"/>
    </row>
    <row r="14" spans="1:14" x14ac:dyDescent="0.25">
      <c r="A14" s="49" t="s">
        <v>61</v>
      </c>
      <c r="B14" s="88">
        <v>40000</v>
      </c>
      <c r="C14" t="s">
        <v>173</v>
      </c>
      <c r="D14" t="s">
        <v>190</v>
      </c>
    </row>
    <row r="15" spans="1:14" x14ac:dyDescent="0.25">
      <c r="A15" s="3" t="s">
        <v>63</v>
      </c>
      <c r="B15" s="88"/>
    </row>
    <row r="16" spans="1:14" x14ac:dyDescent="0.25">
      <c r="A16" s="49" t="s">
        <v>42</v>
      </c>
      <c r="B16" s="88">
        <v>5000</v>
      </c>
      <c r="C16" t="s">
        <v>178</v>
      </c>
    </row>
    <row r="17" spans="1:5" x14ac:dyDescent="0.25">
      <c r="A17" s="49" t="s">
        <v>47</v>
      </c>
      <c r="B17" s="88">
        <v>7500</v>
      </c>
      <c r="C17" t="s">
        <v>173</v>
      </c>
    </row>
    <row r="18" spans="1:5" x14ac:dyDescent="0.25">
      <c r="A18" s="49" t="s">
        <v>46</v>
      </c>
      <c r="B18" s="88">
        <v>3000</v>
      </c>
      <c r="C18" t="s">
        <v>179</v>
      </c>
    </row>
    <row r="19" spans="1:5" x14ac:dyDescent="0.25">
      <c r="A19" s="49" t="s">
        <v>43</v>
      </c>
      <c r="B19" s="88">
        <v>1000</v>
      </c>
      <c r="C19" t="s">
        <v>179</v>
      </c>
    </row>
    <row r="20" spans="1:5" x14ac:dyDescent="0.25">
      <c r="A20" s="49" t="s">
        <v>45</v>
      </c>
      <c r="B20" s="88">
        <v>3000</v>
      </c>
      <c r="C20" t="s">
        <v>179</v>
      </c>
    </row>
    <row r="21" spans="1:5" x14ac:dyDescent="0.25">
      <c r="A21" s="49" t="s">
        <v>39</v>
      </c>
      <c r="B21" s="89">
        <v>50000</v>
      </c>
      <c r="D21" t="s">
        <v>185</v>
      </c>
    </row>
    <row r="22" spans="1:5" x14ac:dyDescent="0.25">
      <c r="A22" s="4" t="s">
        <v>2</v>
      </c>
      <c r="B22" s="44">
        <f>SUM(B5:B21)</f>
        <v>319082</v>
      </c>
    </row>
    <row r="23" spans="1:5" x14ac:dyDescent="0.25">
      <c r="A23" s="5"/>
      <c r="B23" s="11"/>
    </row>
    <row r="24" spans="1:5" x14ac:dyDescent="0.25">
      <c r="A24" s="9" t="s">
        <v>15</v>
      </c>
      <c r="B24" s="12"/>
    </row>
    <row r="25" spans="1:5" x14ac:dyDescent="0.25">
      <c r="A25" s="8" t="s">
        <v>3</v>
      </c>
      <c r="B25" s="45">
        <f>B22-B27</f>
        <v>31908.199999999953</v>
      </c>
    </row>
    <row r="26" spans="1:5" x14ac:dyDescent="0.25">
      <c r="A26" s="6" t="s">
        <v>197</v>
      </c>
      <c r="B26" s="46">
        <v>257131.8</v>
      </c>
    </row>
    <row r="27" spans="1:5" x14ac:dyDescent="0.25">
      <c r="A27" s="6" t="s">
        <v>198</v>
      </c>
      <c r="B27" s="46">
        <f>B28+B29</f>
        <v>287173.80000000005</v>
      </c>
      <c r="D27" t="s">
        <v>196</v>
      </c>
    </row>
    <row r="28" spans="1:5" ht="15.75" x14ac:dyDescent="0.25">
      <c r="A28" s="48" t="s">
        <v>65</v>
      </c>
      <c r="B28" s="50">
        <f>IF((SUM(B14:B21)*0.9&lt;150000),SUM(B14:B21)*0.9,150000)</f>
        <v>98550</v>
      </c>
      <c r="C28" s="159" t="s">
        <v>172</v>
      </c>
      <c r="D28" s="123" t="s">
        <v>187</v>
      </c>
      <c r="E28" s="159"/>
    </row>
    <row r="29" spans="1:5" ht="15.75" x14ac:dyDescent="0.25">
      <c r="A29" s="48" t="s">
        <v>66</v>
      </c>
      <c r="B29" s="50">
        <f>(SUM(B5:B12))*0.9</f>
        <v>188623.80000000002</v>
      </c>
      <c r="C29" s="159" t="s">
        <v>171</v>
      </c>
      <c r="D29" s="123" t="s">
        <v>186</v>
      </c>
    </row>
    <row r="30" spans="1:5" x14ac:dyDescent="0.25">
      <c r="A30" s="10" t="s">
        <v>14</v>
      </c>
      <c r="B30" s="47">
        <f>B25+B27</f>
        <v>319082</v>
      </c>
    </row>
    <row r="34" spans="2:2" x14ac:dyDescent="0.25">
      <c r="B34" s="43"/>
    </row>
  </sheetData>
  <mergeCells count="3">
    <mergeCell ref="A2:B2"/>
    <mergeCell ref="A4:B4"/>
    <mergeCell ref="A13:B1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>
      <selection activeCell="B5" sqref="B5"/>
    </sheetView>
  </sheetViews>
  <sheetFormatPr defaultRowHeight="15" x14ac:dyDescent="0.25"/>
  <cols>
    <col min="1" max="1" width="26.140625" bestFit="1" customWidth="1"/>
    <col min="2" max="2" width="14.85546875" bestFit="1" customWidth="1"/>
    <col min="3" max="6" width="13.85546875" bestFit="1" customWidth="1"/>
    <col min="7" max="7" width="11" bestFit="1" customWidth="1"/>
  </cols>
  <sheetData>
    <row r="1" spans="1:6" ht="18.75" customHeight="1" x14ac:dyDescent="0.25">
      <c r="A1" s="104" t="s">
        <v>4</v>
      </c>
      <c r="B1" s="102"/>
      <c r="C1" s="102"/>
      <c r="D1" s="102"/>
      <c r="E1" s="102"/>
      <c r="F1" s="103"/>
    </row>
    <row r="2" spans="1:6" ht="29.45" customHeight="1" x14ac:dyDescent="0.25">
      <c r="A2" s="94" t="s">
        <v>98</v>
      </c>
      <c r="B2" s="94" t="s">
        <v>69</v>
      </c>
      <c r="C2" s="94" t="s">
        <v>70</v>
      </c>
      <c r="D2" s="94" t="s">
        <v>71</v>
      </c>
      <c r="E2" s="94" t="s">
        <v>72</v>
      </c>
      <c r="F2" s="94" t="s">
        <v>73</v>
      </c>
    </row>
    <row r="3" spans="1:6" ht="14.45" customHeight="1" x14ac:dyDescent="0.25"/>
    <row r="4" spans="1:6" x14ac:dyDescent="0.25">
      <c r="A4" s="117" t="s">
        <v>5</v>
      </c>
      <c r="B4" s="118">
        <v>0.115</v>
      </c>
      <c r="C4" s="118">
        <f>B4</f>
        <v>0.115</v>
      </c>
      <c r="D4" s="118">
        <f t="shared" ref="D4:F4" si="0">C4</f>
        <v>0.115</v>
      </c>
      <c r="E4" s="118">
        <f t="shared" si="0"/>
        <v>0.115</v>
      </c>
      <c r="F4" s="118">
        <f t="shared" si="0"/>
        <v>0.115</v>
      </c>
    </row>
    <row r="5" spans="1:6" x14ac:dyDescent="0.25">
      <c r="A5" s="117" t="s">
        <v>6</v>
      </c>
      <c r="B5" s="119">
        <f>Startup!B25</f>
        <v>31908.199999999953</v>
      </c>
      <c r="C5" s="120"/>
      <c r="D5" s="120"/>
      <c r="E5" s="120"/>
      <c r="F5" s="120"/>
    </row>
    <row r="6" spans="1:6" x14ac:dyDescent="0.25">
      <c r="A6" s="117" t="s">
        <v>97</v>
      </c>
      <c r="B6" s="170">
        <f>B12+3%</f>
        <v>7.4499999999999997E-2</v>
      </c>
      <c r="C6" s="170">
        <f>B6</f>
        <v>7.4499999999999997E-2</v>
      </c>
      <c r="D6" s="170">
        <f t="shared" ref="D6:F6" si="1">C6</f>
        <v>7.4499999999999997E-2</v>
      </c>
      <c r="E6" s="170">
        <f t="shared" si="1"/>
        <v>7.4499999999999997E-2</v>
      </c>
      <c r="F6" s="170">
        <f t="shared" si="1"/>
        <v>7.4499999999999997E-2</v>
      </c>
    </row>
    <row r="7" spans="1:6" x14ac:dyDescent="0.25">
      <c r="A7" s="117" t="s">
        <v>8</v>
      </c>
      <c r="B7" s="119">
        <f>Startup!B27</f>
        <v>287173.80000000005</v>
      </c>
      <c r="C7" s="120"/>
      <c r="D7" s="120"/>
      <c r="E7" s="120"/>
      <c r="F7" s="120"/>
    </row>
    <row r="8" spans="1:6" x14ac:dyDescent="0.25">
      <c r="A8" s="117" t="s">
        <v>7</v>
      </c>
      <c r="B8" s="119">
        <f>PMT(B6,B9,-B7,0,0)</f>
        <v>22674.666656945574</v>
      </c>
      <c r="C8" s="119">
        <f>B8</f>
        <v>22674.666656945574</v>
      </c>
      <c r="D8" s="119">
        <f t="shared" ref="D8:F8" si="2">C8</f>
        <v>22674.666656945574</v>
      </c>
      <c r="E8" s="119">
        <f t="shared" si="2"/>
        <v>22674.666656945574</v>
      </c>
      <c r="F8" s="119">
        <f t="shared" si="2"/>
        <v>22674.666656945574</v>
      </c>
    </row>
    <row r="9" spans="1:6" x14ac:dyDescent="0.25">
      <c r="A9" s="117" t="s">
        <v>139</v>
      </c>
      <c r="B9" s="121">
        <v>40</v>
      </c>
      <c r="C9" s="121"/>
      <c r="D9" s="121"/>
      <c r="E9" s="121"/>
      <c r="F9" s="121"/>
    </row>
    <row r="10" spans="1:6" x14ac:dyDescent="0.25">
      <c r="B10" s="114"/>
    </row>
    <row r="12" spans="1:6" x14ac:dyDescent="0.25">
      <c r="A12" s="158" t="s">
        <v>168</v>
      </c>
      <c r="B12" s="137">
        <v>4.4499999999999998E-2</v>
      </c>
      <c r="C12" s="1"/>
    </row>
    <row r="15" spans="1:6" x14ac:dyDescent="0.25">
      <c r="B15" s="115"/>
    </row>
    <row r="17" spans="1:2" x14ac:dyDescent="0.25">
      <c r="B17" s="107"/>
    </row>
    <row r="21" spans="1:2" x14ac:dyDescent="0.25">
      <c r="A21" s="116"/>
    </row>
  </sheetData>
  <phoneticPr fontId="1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55819-10AC-4031-A37C-45E9F2F66359}">
  <sheetPr>
    <tabColor theme="2"/>
  </sheetPr>
  <dimension ref="A1:AW74"/>
  <sheetViews>
    <sheetView showGridLines="0" tabSelected="1" topLeftCell="B1" zoomScale="80" zoomScaleNormal="80" workbookViewId="0">
      <pane ySplit="4" topLeftCell="A20" activePane="bottomLeft" state="frozen"/>
      <selection activeCell="I40" sqref="I40"/>
      <selection pane="bottomLeft" activeCell="D30" sqref="D30"/>
    </sheetView>
  </sheetViews>
  <sheetFormatPr defaultColWidth="9.140625" defaultRowHeight="15.75" x14ac:dyDescent="0.25"/>
  <cols>
    <col min="1" max="1" width="8.42578125" style="29" hidden="1" customWidth="1"/>
    <col min="2" max="2" width="1.85546875" style="29" customWidth="1"/>
    <col min="3" max="3" width="2.85546875" style="31" customWidth="1"/>
    <col min="4" max="4" width="29.42578125" style="29" customWidth="1"/>
    <col min="5" max="5" width="11.5703125" style="32" customWidth="1"/>
    <col min="6" max="41" width="13.28515625" style="29" customWidth="1"/>
    <col min="42" max="49" width="13" style="29" customWidth="1"/>
    <col min="50" max="16384" width="9.140625" style="29"/>
  </cols>
  <sheetData>
    <row r="1" spans="1:49" ht="23.25" x14ac:dyDescent="0.35">
      <c r="C1" s="108"/>
      <c r="D1" s="108"/>
      <c r="E1" s="108"/>
      <c r="F1" s="108"/>
      <c r="G1" s="108"/>
      <c r="H1" s="108"/>
      <c r="I1" s="108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  <c r="AV1" s="153"/>
      <c r="AW1" s="153"/>
    </row>
    <row r="2" spans="1:49" ht="15" customHeight="1" x14ac:dyDescent="0.35">
      <c r="F2" s="52"/>
      <c r="G2" s="52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</row>
    <row r="3" spans="1:49" x14ac:dyDescent="0.25">
      <c r="A3" s="29" t="s">
        <v>133</v>
      </c>
      <c r="D3" s="109"/>
      <c r="E3" s="110" t="s">
        <v>67</v>
      </c>
      <c r="F3" s="53"/>
      <c r="G3" s="53"/>
      <c r="H3" s="155" t="s">
        <v>158</v>
      </c>
      <c r="I3" s="155"/>
      <c r="J3" s="154">
        <v>0.2</v>
      </c>
      <c r="K3" s="154"/>
      <c r="L3" s="52" t="s">
        <v>161</v>
      </c>
      <c r="M3" s="52"/>
      <c r="N3" s="156">
        <v>219</v>
      </c>
      <c r="O3" s="156"/>
      <c r="P3" s="52" t="s">
        <v>160</v>
      </c>
      <c r="Q3" s="52"/>
      <c r="R3" s="156">
        <v>12</v>
      </c>
      <c r="S3" s="156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</row>
    <row r="4" spans="1:49" s="33" customFormat="1" ht="18" customHeight="1" x14ac:dyDescent="0.25">
      <c r="C4" s="54"/>
      <c r="D4" s="31"/>
      <c r="E4" s="52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</row>
    <row r="5" spans="1:49" s="33" customFormat="1" ht="18" customHeight="1" x14ac:dyDescent="0.25">
      <c r="C5" s="54"/>
      <c r="E5" s="52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</row>
    <row r="6" spans="1:49" s="33" customFormat="1" ht="18" customHeight="1" x14ac:dyDescent="0.25">
      <c r="C6" s="174" t="s">
        <v>68</v>
      </c>
      <c r="D6" s="175"/>
      <c r="E6" s="55"/>
      <c r="F6" s="198" t="s">
        <v>201</v>
      </c>
      <c r="G6" s="198" t="s">
        <v>201</v>
      </c>
      <c r="H6" s="197" t="s">
        <v>191</v>
      </c>
      <c r="I6" s="197" t="s">
        <v>191</v>
      </c>
      <c r="J6" s="197" t="s">
        <v>192</v>
      </c>
      <c r="K6" s="197" t="s">
        <v>192</v>
      </c>
      <c r="L6" s="197" t="s">
        <v>193</v>
      </c>
      <c r="M6" s="197" t="s">
        <v>193</v>
      </c>
      <c r="N6" s="197" t="s">
        <v>194</v>
      </c>
      <c r="O6" s="197" t="s">
        <v>194</v>
      </c>
      <c r="P6" s="197" t="s">
        <v>195</v>
      </c>
      <c r="Q6" s="197" t="s">
        <v>195</v>
      </c>
      <c r="R6" s="197" t="s">
        <v>204</v>
      </c>
      <c r="S6" s="197" t="s">
        <v>204</v>
      </c>
      <c r="T6" s="198" t="s">
        <v>205</v>
      </c>
      <c r="U6" s="198" t="s">
        <v>205</v>
      </c>
      <c r="V6" s="198" t="s">
        <v>206</v>
      </c>
      <c r="W6" s="198" t="s">
        <v>206</v>
      </c>
      <c r="X6" s="198" t="s">
        <v>207</v>
      </c>
      <c r="Y6" s="198" t="s">
        <v>207</v>
      </c>
      <c r="Z6" s="198" t="s">
        <v>208</v>
      </c>
      <c r="AA6" s="198" t="s">
        <v>208</v>
      </c>
      <c r="AB6" s="198" t="s">
        <v>201</v>
      </c>
      <c r="AC6" s="198" t="s">
        <v>201</v>
      </c>
      <c r="AD6" s="197" t="s">
        <v>191</v>
      </c>
      <c r="AE6" s="197" t="s">
        <v>191</v>
      </c>
      <c r="AF6" s="197" t="s">
        <v>192</v>
      </c>
      <c r="AG6" s="197" t="s">
        <v>192</v>
      </c>
      <c r="AH6" s="197" t="s">
        <v>193</v>
      </c>
      <c r="AI6" s="197" t="s">
        <v>193</v>
      </c>
      <c r="AJ6" s="197" t="s">
        <v>194</v>
      </c>
      <c r="AK6" s="197" t="s">
        <v>194</v>
      </c>
      <c r="AL6" s="197" t="s">
        <v>195</v>
      </c>
      <c r="AM6" s="197" t="s">
        <v>195</v>
      </c>
      <c r="AN6" s="197" t="s">
        <v>204</v>
      </c>
      <c r="AO6" s="197" t="s">
        <v>204</v>
      </c>
      <c r="AP6" s="198" t="s">
        <v>205</v>
      </c>
      <c r="AQ6" s="198" t="s">
        <v>205</v>
      </c>
      <c r="AR6" s="198" t="s">
        <v>206</v>
      </c>
      <c r="AS6" s="198" t="s">
        <v>206</v>
      </c>
      <c r="AT6" s="198" t="s">
        <v>207</v>
      </c>
      <c r="AU6" s="198" t="s">
        <v>207</v>
      </c>
      <c r="AV6" s="198" t="s">
        <v>208</v>
      </c>
      <c r="AW6" s="198" t="s">
        <v>208</v>
      </c>
    </row>
    <row r="7" spans="1:49" s="33" customFormat="1" ht="18" customHeight="1" x14ac:dyDescent="0.25">
      <c r="C7" s="174"/>
      <c r="D7" s="175"/>
      <c r="E7" s="30"/>
      <c r="F7" s="197" t="s">
        <v>202</v>
      </c>
      <c r="G7" s="197" t="s">
        <v>203</v>
      </c>
      <c r="H7" s="197" t="s">
        <v>202</v>
      </c>
      <c r="I7" s="197" t="s">
        <v>203</v>
      </c>
      <c r="J7" s="197" t="s">
        <v>202</v>
      </c>
      <c r="K7" s="197" t="s">
        <v>203</v>
      </c>
      <c r="L7" s="197" t="s">
        <v>202</v>
      </c>
      <c r="M7" s="197" t="s">
        <v>203</v>
      </c>
      <c r="N7" s="197" t="s">
        <v>202</v>
      </c>
      <c r="O7" s="197" t="s">
        <v>203</v>
      </c>
      <c r="P7" s="197" t="s">
        <v>202</v>
      </c>
      <c r="Q7" s="197" t="s">
        <v>203</v>
      </c>
      <c r="R7" s="197" t="s">
        <v>202</v>
      </c>
      <c r="S7" s="197" t="s">
        <v>203</v>
      </c>
      <c r="T7" s="197" t="s">
        <v>202</v>
      </c>
      <c r="U7" s="197" t="s">
        <v>203</v>
      </c>
      <c r="V7" s="197" t="s">
        <v>202</v>
      </c>
      <c r="W7" s="197" t="s">
        <v>203</v>
      </c>
      <c r="X7" s="197" t="s">
        <v>202</v>
      </c>
      <c r="Y7" s="197" t="s">
        <v>203</v>
      </c>
      <c r="Z7" s="197" t="s">
        <v>202</v>
      </c>
      <c r="AA7" s="197" t="s">
        <v>203</v>
      </c>
      <c r="AB7" s="197" t="s">
        <v>202</v>
      </c>
      <c r="AC7" s="197" t="s">
        <v>203</v>
      </c>
      <c r="AD7" s="197" t="s">
        <v>202</v>
      </c>
      <c r="AE7" s="197" t="s">
        <v>203</v>
      </c>
      <c r="AF7" s="197" t="s">
        <v>202</v>
      </c>
      <c r="AG7" s="197" t="s">
        <v>203</v>
      </c>
      <c r="AH7" s="197" t="s">
        <v>202</v>
      </c>
      <c r="AI7" s="197" t="s">
        <v>203</v>
      </c>
      <c r="AJ7" s="197" t="s">
        <v>202</v>
      </c>
      <c r="AK7" s="197" t="s">
        <v>203</v>
      </c>
      <c r="AL7" s="197" t="s">
        <v>202</v>
      </c>
      <c r="AM7" s="197" t="s">
        <v>203</v>
      </c>
      <c r="AN7" s="197" t="s">
        <v>202</v>
      </c>
      <c r="AO7" s="197" t="s">
        <v>203</v>
      </c>
      <c r="AP7" s="197" t="s">
        <v>202</v>
      </c>
      <c r="AQ7" s="197" t="s">
        <v>203</v>
      </c>
      <c r="AR7" s="197" t="s">
        <v>202</v>
      </c>
      <c r="AS7" s="197" t="s">
        <v>203</v>
      </c>
      <c r="AT7" s="197" t="s">
        <v>202</v>
      </c>
      <c r="AU7" s="197" t="s">
        <v>203</v>
      </c>
      <c r="AV7" s="197" t="s">
        <v>202</v>
      </c>
      <c r="AW7" s="197" t="s">
        <v>203</v>
      </c>
    </row>
    <row r="8" spans="1:49" s="33" customFormat="1" ht="15" customHeight="1" thickBot="1" x14ac:dyDescent="0.3">
      <c r="C8" s="54"/>
      <c r="E8" s="52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</row>
    <row r="9" spans="1:49" s="61" customFormat="1" ht="15" customHeight="1" thickBot="1" x14ac:dyDescent="0.3">
      <c r="C9" s="54" t="s">
        <v>200</v>
      </c>
      <c r="E9" s="62" t="s">
        <v>67</v>
      </c>
      <c r="F9" s="201">
        <v>0</v>
      </c>
      <c r="G9" s="211">
        <v>0</v>
      </c>
      <c r="H9" s="201">
        <v>85000</v>
      </c>
      <c r="I9" s="211">
        <v>12406.66</v>
      </c>
      <c r="J9" s="201">
        <v>85000</v>
      </c>
      <c r="K9" s="211">
        <v>28855</v>
      </c>
      <c r="L9" s="201">
        <v>85000</v>
      </c>
      <c r="M9" s="211"/>
      <c r="N9" s="201">
        <v>85000</v>
      </c>
      <c r="O9" s="211"/>
      <c r="P9" s="201">
        <v>85000</v>
      </c>
      <c r="Q9" s="211"/>
      <c r="R9" s="201">
        <v>85000</v>
      </c>
      <c r="S9" s="211"/>
      <c r="T9" s="201">
        <v>85000</v>
      </c>
      <c r="U9" s="211"/>
      <c r="V9" s="201">
        <v>85000</v>
      </c>
      <c r="W9" s="211"/>
      <c r="X9" s="201">
        <v>85000</v>
      </c>
      <c r="Y9" s="211"/>
      <c r="Z9" s="201">
        <v>85000</v>
      </c>
      <c r="AA9" s="211"/>
      <c r="AB9" s="201">
        <v>85000</v>
      </c>
      <c r="AC9" s="211"/>
      <c r="AD9" s="201">
        <v>85000</v>
      </c>
      <c r="AE9" s="211"/>
      <c r="AF9" s="201">
        <v>85000</v>
      </c>
      <c r="AG9" s="211"/>
      <c r="AH9" s="201">
        <v>85000</v>
      </c>
      <c r="AI9" s="211"/>
      <c r="AJ9" s="201">
        <v>85000</v>
      </c>
      <c r="AK9" s="211"/>
      <c r="AL9" s="201">
        <v>85000</v>
      </c>
      <c r="AM9" s="211"/>
      <c r="AN9" s="201">
        <v>85000</v>
      </c>
      <c r="AO9" s="211"/>
      <c r="AP9" s="201">
        <v>85000</v>
      </c>
      <c r="AQ9" s="211"/>
      <c r="AR9" s="201">
        <v>85000</v>
      </c>
      <c r="AS9" s="211"/>
      <c r="AT9" s="201">
        <v>85000</v>
      </c>
      <c r="AU9" s="211"/>
      <c r="AV9" s="201">
        <v>85000</v>
      </c>
      <c r="AW9" s="211"/>
    </row>
    <row r="10" spans="1:49" s="61" customFormat="1" ht="15" customHeight="1" x14ac:dyDescent="0.25">
      <c r="C10" s="54"/>
      <c r="D10" s="61" t="s">
        <v>162</v>
      </c>
      <c r="E10" s="62">
        <v>37</v>
      </c>
      <c r="F10" s="202">
        <f>F9/$N$3</f>
        <v>0</v>
      </c>
      <c r="G10" s="212"/>
      <c r="H10" s="202">
        <f>H9/$N$3</f>
        <v>388.12785388127855</v>
      </c>
      <c r="I10" s="212">
        <v>52</v>
      </c>
      <c r="J10" s="202">
        <f>J9/$N$3</f>
        <v>388.12785388127855</v>
      </c>
      <c r="K10" s="212">
        <v>100</v>
      </c>
      <c r="L10" s="202">
        <f>L9/$N$3</f>
        <v>388.12785388127855</v>
      </c>
      <c r="M10" s="212"/>
      <c r="N10" s="202">
        <f>N9/$N$3</f>
        <v>388.12785388127855</v>
      </c>
      <c r="O10" s="212"/>
      <c r="P10" s="202">
        <f>P9/$N$3</f>
        <v>388.12785388127855</v>
      </c>
      <c r="Q10" s="212"/>
      <c r="R10" s="202">
        <f>R9/$N$3</f>
        <v>388.12785388127855</v>
      </c>
      <c r="S10" s="212"/>
      <c r="T10" s="202">
        <f>T9/$N$3</f>
        <v>388.12785388127855</v>
      </c>
      <c r="U10" s="212"/>
      <c r="V10" s="202">
        <f>V9/$N$3</f>
        <v>388.12785388127855</v>
      </c>
      <c r="W10" s="212"/>
      <c r="X10" s="202">
        <f>X9/$N$3</f>
        <v>388.12785388127855</v>
      </c>
      <c r="Y10" s="212"/>
      <c r="Z10" s="202">
        <f>Z9/$N$3</f>
        <v>388.12785388127855</v>
      </c>
      <c r="AA10" s="212"/>
      <c r="AB10" s="202">
        <f>AB9/$N$3</f>
        <v>388.12785388127855</v>
      </c>
      <c r="AC10" s="212"/>
      <c r="AD10" s="202">
        <f>AD9/$N$3</f>
        <v>388.12785388127855</v>
      </c>
      <c r="AE10" s="212"/>
      <c r="AF10" s="202">
        <f>AF9/$N$3</f>
        <v>388.12785388127855</v>
      </c>
      <c r="AG10" s="212"/>
      <c r="AH10" s="202">
        <f>AH9/$N$3</f>
        <v>388.12785388127855</v>
      </c>
      <c r="AI10" s="212"/>
      <c r="AJ10" s="202">
        <f>AJ9/$N$3</f>
        <v>388.12785388127855</v>
      </c>
      <c r="AK10" s="212"/>
      <c r="AL10" s="202">
        <f>AL9/$N$3</f>
        <v>388.12785388127855</v>
      </c>
      <c r="AM10" s="212"/>
      <c r="AN10" s="202">
        <f>AN9/$N$3</f>
        <v>388.12785388127855</v>
      </c>
      <c r="AO10" s="212"/>
      <c r="AP10" s="202">
        <f>AP9/$N$3</f>
        <v>388.12785388127855</v>
      </c>
      <c r="AQ10" s="212"/>
      <c r="AR10" s="202">
        <f>AR9/$N$3</f>
        <v>388.12785388127855</v>
      </c>
      <c r="AS10" s="212"/>
      <c r="AT10" s="202">
        <f>AT9/$N$3</f>
        <v>388.12785388127855</v>
      </c>
      <c r="AU10" s="212"/>
      <c r="AV10" s="202">
        <f>AV9/$N$3</f>
        <v>388.12785388127855</v>
      </c>
      <c r="AW10" s="212"/>
    </row>
    <row r="11" spans="1:49" ht="8.1" customHeight="1" x14ac:dyDescent="0.25">
      <c r="E11" s="59"/>
      <c r="F11" s="200"/>
      <c r="G11" s="210"/>
      <c r="H11" s="200"/>
      <c r="I11" s="210"/>
      <c r="J11" s="200"/>
      <c r="K11" s="210"/>
      <c r="L11" s="200"/>
      <c r="M11" s="210"/>
      <c r="N11" s="200"/>
      <c r="O11" s="210"/>
      <c r="P11" s="200"/>
      <c r="Q11" s="210"/>
      <c r="R11" s="200"/>
      <c r="S11" s="210"/>
      <c r="T11" s="200"/>
      <c r="U11" s="210"/>
      <c r="V11" s="200"/>
      <c r="W11" s="210"/>
      <c r="X11" s="200"/>
      <c r="Y11" s="210"/>
      <c r="Z11" s="200"/>
      <c r="AA11" s="210"/>
      <c r="AB11" s="200"/>
      <c r="AC11" s="210"/>
      <c r="AD11" s="200"/>
      <c r="AE11" s="210"/>
      <c r="AF11" s="200"/>
      <c r="AG11" s="210"/>
      <c r="AH11" s="200"/>
      <c r="AI11" s="210"/>
      <c r="AJ11" s="200"/>
      <c r="AK11" s="210"/>
      <c r="AL11" s="200"/>
      <c r="AM11" s="210"/>
      <c r="AN11" s="200"/>
      <c r="AO11" s="210"/>
      <c r="AP11" s="200"/>
      <c r="AQ11" s="210"/>
      <c r="AR11" s="200"/>
      <c r="AS11" s="210"/>
      <c r="AT11" s="200"/>
      <c r="AU11" s="210"/>
      <c r="AV11" s="200"/>
      <c r="AW11" s="210"/>
    </row>
    <row r="12" spans="1:49" s="192" customFormat="1" ht="17.25" customHeight="1" x14ac:dyDescent="0.25">
      <c r="C12" s="220"/>
      <c r="D12" s="192" t="s">
        <v>199</v>
      </c>
      <c r="E12" s="221"/>
      <c r="F12" s="222"/>
      <c r="G12" s="223"/>
      <c r="H12" s="222">
        <v>0.53590000000000004</v>
      </c>
      <c r="I12" s="223">
        <v>0.53590000000000004</v>
      </c>
      <c r="J12" s="222"/>
      <c r="K12" s="223">
        <v>0.56410000000000005</v>
      </c>
      <c r="L12" s="222"/>
      <c r="M12" s="223"/>
      <c r="N12" s="222"/>
      <c r="O12" s="223"/>
      <c r="P12" s="222"/>
      <c r="Q12" s="223"/>
      <c r="R12" s="222"/>
      <c r="S12" s="223"/>
      <c r="T12" s="222"/>
      <c r="U12" s="223"/>
      <c r="V12" s="222"/>
      <c r="W12" s="223"/>
      <c r="X12" s="222"/>
      <c r="Y12" s="223"/>
      <c r="Z12" s="222"/>
      <c r="AA12" s="223"/>
      <c r="AB12" s="222"/>
      <c r="AC12" s="223"/>
      <c r="AD12" s="222"/>
      <c r="AE12" s="223"/>
      <c r="AF12" s="222"/>
      <c r="AG12" s="223"/>
      <c r="AH12" s="222"/>
      <c r="AI12" s="223"/>
      <c r="AJ12" s="222"/>
      <c r="AK12" s="223"/>
      <c r="AL12" s="222"/>
      <c r="AM12" s="223"/>
      <c r="AN12" s="222"/>
      <c r="AO12" s="223"/>
      <c r="AP12" s="222"/>
      <c r="AQ12" s="223"/>
      <c r="AR12" s="222"/>
      <c r="AS12" s="223"/>
      <c r="AT12" s="222"/>
      <c r="AU12" s="223"/>
      <c r="AV12" s="222"/>
      <c r="AW12" s="223"/>
    </row>
    <row r="13" spans="1:49" s="61" customFormat="1" ht="15" customHeight="1" x14ac:dyDescent="0.25">
      <c r="D13" s="58" t="s">
        <v>74</v>
      </c>
      <c r="E13" s="160"/>
      <c r="F13" s="203">
        <f>F9*$E13</f>
        <v>0</v>
      </c>
      <c r="G13" s="213"/>
      <c r="H13" s="203">
        <f>H9*0.4</f>
        <v>34000</v>
      </c>
      <c r="I13" s="213">
        <f>I9*(1-I12)</f>
        <v>5757.9309059999996</v>
      </c>
      <c r="J13" s="203">
        <f>J9*0.4</f>
        <v>34000</v>
      </c>
      <c r="K13" s="213">
        <f>K9*(1-K12)</f>
        <v>12577.894499999999</v>
      </c>
      <c r="L13" s="203">
        <f>L9*0.4</f>
        <v>34000</v>
      </c>
      <c r="M13" s="213"/>
      <c r="N13" s="203">
        <f>N9*0.4</f>
        <v>34000</v>
      </c>
      <c r="O13" s="213"/>
      <c r="P13" s="203">
        <f>P9*0.4</f>
        <v>34000</v>
      </c>
      <c r="Q13" s="213"/>
      <c r="R13" s="203">
        <f>R9*0.4</f>
        <v>34000</v>
      </c>
      <c r="S13" s="213"/>
      <c r="T13" s="203">
        <f>T9*0.4</f>
        <v>34000</v>
      </c>
      <c r="U13" s="213"/>
      <c r="V13" s="203">
        <f>V9*0.4</f>
        <v>34000</v>
      </c>
      <c r="W13" s="213"/>
      <c r="X13" s="203">
        <f>X9*0.4</f>
        <v>34000</v>
      </c>
      <c r="Y13" s="213"/>
      <c r="Z13" s="203">
        <f>Z9*0.4</f>
        <v>34000</v>
      </c>
      <c r="AA13" s="213"/>
      <c r="AB13" s="203">
        <f>AB9*0.4</f>
        <v>34000</v>
      </c>
      <c r="AC13" s="213"/>
      <c r="AD13" s="203">
        <f>AD9*0.4</f>
        <v>34000</v>
      </c>
      <c r="AE13" s="213"/>
      <c r="AF13" s="203">
        <f>AF9*0.4</f>
        <v>34000</v>
      </c>
      <c r="AG13" s="213"/>
      <c r="AH13" s="203">
        <f>AH9*0.4</f>
        <v>34000</v>
      </c>
      <c r="AI13" s="213"/>
      <c r="AJ13" s="203">
        <f>AJ9*0.4</f>
        <v>34000</v>
      </c>
      <c r="AK13" s="213"/>
      <c r="AL13" s="203">
        <f>AL9*0.4</f>
        <v>34000</v>
      </c>
      <c r="AM13" s="213"/>
      <c r="AN13" s="203">
        <f>AN9*0.4</f>
        <v>34000</v>
      </c>
      <c r="AO13" s="213"/>
      <c r="AP13" s="203">
        <f>AP9*0.4</f>
        <v>34000</v>
      </c>
      <c r="AQ13" s="213"/>
      <c r="AR13" s="203">
        <f>AR9*0.4</f>
        <v>34000</v>
      </c>
      <c r="AS13" s="213"/>
      <c r="AT13" s="203">
        <f>AT9*0.4</f>
        <v>34000</v>
      </c>
      <c r="AU13" s="213"/>
      <c r="AV13" s="203">
        <f>AV9*0.4</f>
        <v>34000</v>
      </c>
      <c r="AW13" s="213"/>
    </row>
    <row r="14" spans="1:49" s="61" customFormat="1" ht="15" customHeight="1" x14ac:dyDescent="0.25">
      <c r="D14" s="58" t="s">
        <v>75</v>
      </c>
      <c r="E14" s="73"/>
      <c r="F14" s="203">
        <f>(F10*(1-($J$2+$J$3)))*$R$3</f>
        <v>0</v>
      </c>
      <c r="G14" s="213"/>
      <c r="H14" s="203">
        <f>(H10*(1-$J$3)*$R$3)</f>
        <v>3726.0273972602745</v>
      </c>
      <c r="I14" s="213">
        <v>163</v>
      </c>
      <c r="J14" s="203">
        <f>(J10*(1-$J$3)*$R$3)</f>
        <v>3726.0273972602745</v>
      </c>
      <c r="K14" s="213">
        <v>84.35</v>
      </c>
      <c r="L14" s="203">
        <f>(L10*(1-$J$3)*$R$3)</f>
        <v>3726.0273972602745</v>
      </c>
      <c r="M14" s="213"/>
      <c r="N14" s="203">
        <f>(N10*(1-$J$3)*$R$3)</f>
        <v>3726.0273972602745</v>
      </c>
      <c r="O14" s="213"/>
      <c r="P14" s="203">
        <f>(P10*(1-$J$3)*$R$3)</f>
        <v>3726.0273972602745</v>
      </c>
      <c r="Q14" s="213"/>
      <c r="R14" s="203">
        <f>(R10*(1-$J$3)*$R$3)</f>
        <v>3726.0273972602745</v>
      </c>
      <c r="S14" s="213"/>
      <c r="T14" s="203">
        <f>(T10*(1-$J$3)*$R$3)</f>
        <v>3726.0273972602745</v>
      </c>
      <c r="U14" s="213"/>
      <c r="V14" s="203">
        <f>(V10*(1-$J$3)*$R$3)</f>
        <v>3726.0273972602745</v>
      </c>
      <c r="W14" s="213"/>
      <c r="X14" s="203">
        <f>(X10*(1-$J$3)*$R$3)</f>
        <v>3726.0273972602745</v>
      </c>
      <c r="Y14" s="213"/>
      <c r="Z14" s="203">
        <f>(Z10*(1-$J$3)*$R$3)</f>
        <v>3726.0273972602745</v>
      </c>
      <c r="AA14" s="213"/>
      <c r="AB14" s="203">
        <f>(AB10*(1-$J$3)*$R$3)</f>
        <v>3726.0273972602745</v>
      </c>
      <c r="AC14" s="213"/>
      <c r="AD14" s="203">
        <f>(AD10*(1-$J$3)*$R$3)</f>
        <v>3726.0273972602745</v>
      </c>
      <c r="AE14" s="213"/>
      <c r="AF14" s="203">
        <f>(AF10*(1-$J$3)*$R$3)</f>
        <v>3726.0273972602745</v>
      </c>
      <c r="AG14" s="213"/>
      <c r="AH14" s="203">
        <f>(AH10*(1-$J$3)*$R$3)</f>
        <v>3726.0273972602745</v>
      </c>
      <c r="AI14" s="213"/>
      <c r="AJ14" s="203">
        <f>(AJ10*(1-$J$3)*$R$3)</f>
        <v>3726.0273972602745</v>
      </c>
      <c r="AK14" s="213"/>
      <c r="AL14" s="203">
        <f>(AL10*(1-$J$3)*$R$3)</f>
        <v>3726.0273972602745</v>
      </c>
      <c r="AM14" s="213"/>
      <c r="AN14" s="203">
        <f>(AN10*(1-$J$3)*$R$3)</f>
        <v>3726.0273972602745</v>
      </c>
      <c r="AO14" s="213"/>
      <c r="AP14" s="203">
        <f>(AP10*(1-$J$3)*$R$3)</f>
        <v>3726.0273972602745</v>
      </c>
      <c r="AQ14" s="213"/>
      <c r="AR14" s="203">
        <f>(AR10*(1-$J$3)*$R$3)</f>
        <v>3726.0273972602745</v>
      </c>
      <c r="AS14" s="213"/>
      <c r="AT14" s="203">
        <f>(AT10*(1-$J$3)*$R$3)</f>
        <v>3726.0273972602745</v>
      </c>
      <c r="AU14" s="213"/>
      <c r="AV14" s="203">
        <f>(AV10*(1-$J$3)*$R$3)</f>
        <v>3726.0273972602745</v>
      </c>
      <c r="AW14" s="213"/>
    </row>
    <row r="15" spans="1:49" s="61" customFormat="1" ht="15" customHeight="1" x14ac:dyDescent="0.25">
      <c r="D15" s="58" t="s">
        <v>159</v>
      </c>
      <c r="E15" s="73">
        <v>9.0999999999999998E-2</v>
      </c>
      <c r="F15" s="203">
        <f>(F9*(1-$J$3))*$E15</f>
        <v>0</v>
      </c>
      <c r="G15" s="213"/>
      <c r="H15" s="203">
        <f>(H9*(1-$J$3))*$E15</f>
        <v>6188</v>
      </c>
      <c r="I15" s="213">
        <v>623.71</v>
      </c>
      <c r="J15" s="203">
        <f>(J9*(1-$J$3))*$E15</f>
        <v>6188</v>
      </c>
      <c r="K15" s="213">
        <v>1364</v>
      </c>
      <c r="L15" s="203">
        <f>(L9*(1-$J$3))*$E15</f>
        <v>6188</v>
      </c>
      <c r="M15" s="213"/>
      <c r="N15" s="203">
        <f>(N9*(1-$J$3))*$E15</f>
        <v>6188</v>
      </c>
      <c r="O15" s="213"/>
      <c r="P15" s="203">
        <f>(P9*(1-$J$3))*$E15</f>
        <v>6188</v>
      </c>
      <c r="Q15" s="213"/>
      <c r="R15" s="203">
        <f>(R9*(1-$J$3))*$E15</f>
        <v>6188</v>
      </c>
      <c r="S15" s="213"/>
      <c r="T15" s="203">
        <f>(T9*(1-$J$3))*$E15</f>
        <v>6188</v>
      </c>
      <c r="U15" s="213"/>
      <c r="V15" s="203">
        <f>(V9*(1-$J$3))*$E15</f>
        <v>6188</v>
      </c>
      <c r="W15" s="213"/>
      <c r="X15" s="203">
        <f>(X9*(1-$J$3))*$E15</f>
        <v>6188</v>
      </c>
      <c r="Y15" s="213"/>
      <c r="Z15" s="203">
        <f>(Z9*(1-$J$3))*$E15</f>
        <v>6188</v>
      </c>
      <c r="AA15" s="213"/>
      <c r="AB15" s="203">
        <f>(AB9*(1-$J$3))*$E15</f>
        <v>6188</v>
      </c>
      <c r="AC15" s="213"/>
      <c r="AD15" s="203">
        <f>(AD9*(1-$J$3))*$E15</f>
        <v>6188</v>
      </c>
      <c r="AE15" s="213"/>
      <c r="AF15" s="203">
        <f>(AF9*(1-$J$3))*$E15</f>
        <v>6188</v>
      </c>
      <c r="AG15" s="213"/>
      <c r="AH15" s="203">
        <f>(AH9*(1-$J$3))*$E15</f>
        <v>6188</v>
      </c>
      <c r="AI15" s="213"/>
      <c r="AJ15" s="203">
        <f>(AJ9*(1-$J$3))*$E15</f>
        <v>6188</v>
      </c>
      <c r="AK15" s="213"/>
      <c r="AL15" s="203">
        <f>(AL9*(1-$J$3))*$E15</f>
        <v>6188</v>
      </c>
      <c r="AM15" s="213"/>
      <c r="AN15" s="203">
        <f>(AN9*(1-$J$3))*$E15</f>
        <v>6188</v>
      </c>
      <c r="AO15" s="213"/>
      <c r="AP15" s="203">
        <f>(AP9*(1-$J$3))*$E15</f>
        <v>6188</v>
      </c>
      <c r="AQ15" s="213"/>
      <c r="AR15" s="203">
        <f>(AR9*(1-$J$3))*$E15</f>
        <v>6188</v>
      </c>
      <c r="AS15" s="213"/>
      <c r="AT15" s="203">
        <f>(AT9*(1-$J$3))*$E15</f>
        <v>6188</v>
      </c>
      <c r="AU15" s="213"/>
      <c r="AV15" s="203">
        <f>(AV9*(1-$J$3))*$E15</f>
        <v>6188</v>
      </c>
      <c r="AW15" s="213"/>
    </row>
    <row r="16" spans="1:49" s="61" customFormat="1" ht="15" customHeight="1" thickBot="1" x14ac:dyDescent="0.3">
      <c r="A16" s="33"/>
      <c r="B16" s="33"/>
      <c r="D16" s="58" t="s">
        <v>76</v>
      </c>
      <c r="E16" s="162" t="s">
        <v>169</v>
      </c>
      <c r="F16" s="203">
        <f>$P$51</f>
        <v>9742.4240000000009</v>
      </c>
      <c r="G16" s="213"/>
      <c r="H16" s="203">
        <f>F16</f>
        <v>9742.4240000000009</v>
      </c>
      <c r="I16" s="213">
        <f>$P$51</f>
        <v>9742.4240000000009</v>
      </c>
      <c r="J16" s="203">
        <f>H16</f>
        <v>9742.4240000000009</v>
      </c>
      <c r="K16" s="213">
        <f>I16</f>
        <v>9742.4240000000009</v>
      </c>
      <c r="L16" s="203">
        <f>J16</f>
        <v>9742.4240000000009</v>
      </c>
      <c r="M16" s="213"/>
      <c r="N16" s="203">
        <f>L16</f>
        <v>9742.4240000000009</v>
      </c>
      <c r="O16" s="213"/>
      <c r="P16" s="203">
        <f>N16</f>
        <v>9742.4240000000009</v>
      </c>
      <c r="Q16" s="213"/>
      <c r="R16" s="203">
        <f>P16</f>
        <v>9742.4240000000009</v>
      </c>
      <c r="S16" s="213"/>
      <c r="T16" s="203">
        <f>R16</f>
        <v>9742.4240000000009</v>
      </c>
      <c r="U16" s="213"/>
      <c r="V16" s="203">
        <f t="shared" ref="V16" si="0">T16</f>
        <v>9742.4240000000009</v>
      </c>
      <c r="W16" s="213"/>
      <c r="X16" s="203">
        <f>V16</f>
        <v>9742.4240000000009</v>
      </c>
      <c r="Y16" s="213"/>
      <c r="Z16" s="203">
        <f>X16</f>
        <v>9742.4240000000009</v>
      </c>
      <c r="AA16" s="213"/>
      <c r="AB16" s="203">
        <f>Z16</f>
        <v>9742.4240000000009</v>
      </c>
      <c r="AC16" s="213"/>
      <c r="AD16" s="203">
        <f>AB16</f>
        <v>9742.4240000000009</v>
      </c>
      <c r="AE16" s="213"/>
      <c r="AF16" s="203">
        <f>H16*1.03</f>
        <v>10034.696720000002</v>
      </c>
      <c r="AG16" s="213"/>
      <c r="AH16" s="203">
        <f>AF16</f>
        <v>10034.696720000002</v>
      </c>
      <c r="AI16" s="213"/>
      <c r="AJ16" s="203">
        <f>AH16</f>
        <v>10034.696720000002</v>
      </c>
      <c r="AK16" s="213"/>
      <c r="AL16" s="203">
        <f>AJ16</f>
        <v>10034.696720000002</v>
      </c>
      <c r="AM16" s="213"/>
      <c r="AN16" s="203">
        <f>AL16</f>
        <v>10034.696720000002</v>
      </c>
      <c r="AO16" s="213"/>
      <c r="AP16" s="203">
        <f>AN16</f>
        <v>10034.696720000002</v>
      </c>
      <c r="AQ16" s="213"/>
      <c r="AR16" s="203">
        <f>AP16</f>
        <v>10034.696720000002</v>
      </c>
      <c r="AS16" s="213"/>
      <c r="AT16" s="203">
        <f t="shared" ref="AT16" si="1">AR16</f>
        <v>10034.696720000002</v>
      </c>
      <c r="AU16" s="213"/>
      <c r="AV16" s="203">
        <f>X16*1.03</f>
        <v>10034.696720000002</v>
      </c>
      <c r="AW16" s="213"/>
    </row>
    <row r="17" spans="1:49" s="61" customFormat="1" ht="15" customHeight="1" x14ac:dyDescent="0.25">
      <c r="C17" s="54" t="s">
        <v>77</v>
      </c>
      <c r="E17" s="62"/>
      <c r="F17" s="204">
        <f>F9-F13-F14-F15-F16</f>
        <v>-9742.4240000000009</v>
      </c>
      <c r="G17" s="214"/>
      <c r="H17" s="204">
        <f>H9-H13-H14-H15-H16</f>
        <v>31343.548602739727</v>
      </c>
      <c r="I17" s="214">
        <f>I9-I13-I14-I15-I16</f>
        <v>-3880.4049060000007</v>
      </c>
      <c r="J17" s="204">
        <f t="shared" ref="J17" si="2">J9-J13-J14-J15-J16</f>
        <v>31343.548602739727</v>
      </c>
      <c r="K17" s="214">
        <f>K9-K13-K14-K15-K16</f>
        <v>5086.3315000000002</v>
      </c>
      <c r="L17" s="204">
        <f t="shared" ref="L17:AV17" si="3">L9-L13-L14-L15-L16</f>
        <v>31343.548602739727</v>
      </c>
      <c r="M17" s="214"/>
      <c r="N17" s="204">
        <f t="shared" si="3"/>
        <v>31343.548602739727</v>
      </c>
      <c r="O17" s="214"/>
      <c r="P17" s="204">
        <f t="shared" si="3"/>
        <v>31343.548602739727</v>
      </c>
      <c r="Q17" s="214"/>
      <c r="R17" s="204">
        <f t="shared" si="3"/>
        <v>31343.548602739727</v>
      </c>
      <c r="S17" s="214"/>
      <c r="T17" s="204">
        <f t="shared" si="3"/>
        <v>31343.548602739727</v>
      </c>
      <c r="U17" s="214"/>
      <c r="V17" s="204">
        <f t="shared" si="3"/>
        <v>31343.548602739727</v>
      </c>
      <c r="W17" s="214"/>
      <c r="X17" s="204">
        <f t="shared" si="3"/>
        <v>31343.548602739727</v>
      </c>
      <c r="Y17" s="214"/>
      <c r="Z17" s="204">
        <f t="shared" si="3"/>
        <v>31343.548602739727</v>
      </c>
      <c r="AA17" s="214"/>
      <c r="AB17" s="204">
        <f t="shared" si="3"/>
        <v>31343.548602739727</v>
      </c>
      <c r="AC17" s="214"/>
      <c r="AD17" s="204">
        <f t="shared" si="3"/>
        <v>31343.548602739727</v>
      </c>
      <c r="AE17" s="214"/>
      <c r="AF17" s="204">
        <f t="shared" si="3"/>
        <v>31051.275882739727</v>
      </c>
      <c r="AG17" s="214"/>
      <c r="AH17" s="204">
        <f t="shared" si="3"/>
        <v>31051.275882739727</v>
      </c>
      <c r="AI17" s="214"/>
      <c r="AJ17" s="204">
        <f t="shared" si="3"/>
        <v>31051.275882739727</v>
      </c>
      <c r="AK17" s="214"/>
      <c r="AL17" s="204">
        <f t="shared" si="3"/>
        <v>31051.275882739727</v>
      </c>
      <c r="AM17" s="214"/>
      <c r="AN17" s="204">
        <f t="shared" si="3"/>
        <v>31051.275882739727</v>
      </c>
      <c r="AO17" s="214"/>
      <c r="AP17" s="204">
        <f t="shared" si="3"/>
        <v>31051.275882739727</v>
      </c>
      <c r="AQ17" s="214"/>
      <c r="AR17" s="204">
        <f t="shared" si="3"/>
        <v>31051.275882739727</v>
      </c>
      <c r="AS17" s="214"/>
      <c r="AT17" s="204">
        <f t="shared" si="3"/>
        <v>31051.275882739727</v>
      </c>
      <c r="AU17" s="214"/>
      <c r="AV17" s="204">
        <f t="shared" si="3"/>
        <v>31051.275882739727</v>
      </c>
      <c r="AW17" s="214"/>
    </row>
    <row r="18" spans="1:49" ht="15" customHeight="1" x14ac:dyDescent="0.25">
      <c r="E18" s="59"/>
      <c r="F18" s="200"/>
      <c r="G18" s="210"/>
      <c r="H18" s="200"/>
      <c r="I18" s="210"/>
      <c r="J18" s="200"/>
      <c r="K18" s="210"/>
      <c r="L18" s="200"/>
      <c r="M18" s="210"/>
      <c r="N18" s="200"/>
      <c r="O18" s="210"/>
      <c r="P18" s="200"/>
      <c r="Q18" s="210"/>
      <c r="R18" s="200"/>
      <c r="S18" s="210"/>
      <c r="T18" s="200"/>
      <c r="U18" s="210"/>
      <c r="V18" s="200"/>
      <c r="W18" s="210"/>
      <c r="X18" s="200"/>
      <c r="Y18" s="210"/>
      <c r="Z18" s="200"/>
      <c r="AA18" s="210"/>
      <c r="AB18" s="200"/>
      <c r="AC18" s="210"/>
      <c r="AD18" s="200"/>
      <c r="AE18" s="210"/>
      <c r="AF18" s="200"/>
      <c r="AG18" s="210"/>
      <c r="AH18" s="200"/>
      <c r="AI18" s="210"/>
      <c r="AJ18" s="200"/>
      <c r="AK18" s="210"/>
      <c r="AL18" s="200"/>
      <c r="AM18" s="210"/>
      <c r="AN18" s="200"/>
      <c r="AO18" s="210"/>
      <c r="AP18" s="200"/>
      <c r="AQ18" s="210"/>
      <c r="AR18" s="200"/>
      <c r="AS18" s="210"/>
      <c r="AT18" s="200"/>
      <c r="AU18" s="210"/>
      <c r="AV18" s="200"/>
      <c r="AW18" s="210"/>
    </row>
    <row r="19" spans="1:49" s="33" customFormat="1" ht="15" customHeight="1" x14ac:dyDescent="0.25">
      <c r="C19" s="54" t="s">
        <v>78</v>
      </c>
      <c r="E19" s="68"/>
      <c r="F19" s="205"/>
      <c r="G19" s="215"/>
      <c r="H19" s="205"/>
      <c r="I19" s="215"/>
      <c r="J19" s="205"/>
      <c r="K19" s="215"/>
      <c r="L19" s="205"/>
      <c r="M19" s="215"/>
      <c r="N19" s="205"/>
      <c r="O19" s="215"/>
      <c r="P19" s="205"/>
      <c r="Q19" s="215"/>
      <c r="R19" s="205"/>
      <c r="S19" s="215"/>
      <c r="T19" s="205"/>
      <c r="U19" s="215"/>
      <c r="V19" s="205"/>
      <c r="W19" s="215"/>
      <c r="X19" s="205"/>
      <c r="Y19" s="215"/>
      <c r="Z19" s="205"/>
      <c r="AA19" s="215"/>
      <c r="AB19" s="205"/>
      <c r="AC19" s="215"/>
      <c r="AD19" s="205"/>
      <c r="AE19" s="215"/>
      <c r="AF19" s="205"/>
      <c r="AG19" s="215"/>
      <c r="AH19" s="205"/>
      <c r="AI19" s="215"/>
      <c r="AJ19" s="205"/>
      <c r="AK19" s="215"/>
      <c r="AL19" s="205"/>
      <c r="AM19" s="215"/>
      <c r="AN19" s="205"/>
      <c r="AO19" s="215"/>
      <c r="AP19" s="205"/>
      <c r="AQ19" s="215"/>
      <c r="AR19" s="205"/>
      <c r="AS19" s="215"/>
      <c r="AT19" s="205"/>
      <c r="AU19" s="215"/>
      <c r="AV19" s="205"/>
      <c r="AW19" s="215"/>
    </row>
    <row r="20" spans="1:49" s="58" customFormat="1" ht="15" customHeight="1" x14ac:dyDescent="0.25">
      <c r="A20" s="58" t="s">
        <v>79</v>
      </c>
      <c r="C20" s="31"/>
      <c r="D20" s="58" t="s">
        <v>209</v>
      </c>
      <c r="E20" s="72">
        <v>0.06</v>
      </c>
      <c r="F20" s="203">
        <f>F$9*$E20</f>
        <v>0</v>
      </c>
      <c r="G20" s="213"/>
      <c r="H20" s="203">
        <f>H$9*0.06</f>
        <v>5100</v>
      </c>
      <c r="I20" s="213">
        <f>I$9*0.06</f>
        <v>744.39959999999996</v>
      </c>
      <c r="J20" s="203">
        <f>J$9*$E20</f>
        <v>5100</v>
      </c>
      <c r="K20" s="213">
        <f>K$9*$E20</f>
        <v>1731.3</v>
      </c>
      <c r="L20" s="203">
        <f>L$9*$E20</f>
        <v>5100</v>
      </c>
      <c r="M20" s="213"/>
      <c r="N20" s="203">
        <f>N$9*$E20</f>
        <v>5100</v>
      </c>
      <c r="O20" s="213"/>
      <c r="P20" s="203">
        <f>P$9*$E20</f>
        <v>5100</v>
      </c>
      <c r="Q20" s="213"/>
      <c r="R20" s="203">
        <f>R$9*$E20</f>
        <v>5100</v>
      </c>
      <c r="S20" s="213"/>
      <c r="T20" s="203">
        <f>T$9*$E20</f>
        <v>5100</v>
      </c>
      <c r="U20" s="213"/>
      <c r="V20" s="203">
        <f>V$9*$E20</f>
        <v>5100</v>
      </c>
      <c r="W20" s="213"/>
      <c r="X20" s="203">
        <f>X$9*$E20</f>
        <v>5100</v>
      </c>
      <c r="Y20" s="213"/>
      <c r="Z20" s="203">
        <f>Z$9*$E20</f>
        <v>5100</v>
      </c>
      <c r="AA20" s="213"/>
      <c r="AB20" s="203">
        <f>AB$9*$E20</f>
        <v>5100</v>
      </c>
      <c r="AC20" s="213"/>
      <c r="AD20" s="203">
        <f>AD$9*$E20</f>
        <v>5100</v>
      </c>
      <c r="AE20" s="213"/>
      <c r="AF20" s="203">
        <f>AF$9*$E20</f>
        <v>5100</v>
      </c>
      <c r="AG20" s="213"/>
      <c r="AH20" s="203">
        <f>AH$9*$E20</f>
        <v>5100</v>
      </c>
      <c r="AI20" s="213"/>
      <c r="AJ20" s="203">
        <f t="shared" ref="AJ20:AV22" si="4">AJ$9*$E20</f>
        <v>5100</v>
      </c>
      <c r="AK20" s="213"/>
      <c r="AL20" s="203">
        <f t="shared" si="4"/>
        <v>5100</v>
      </c>
      <c r="AM20" s="213"/>
      <c r="AN20" s="203">
        <f t="shared" si="4"/>
        <v>5100</v>
      </c>
      <c r="AO20" s="213"/>
      <c r="AP20" s="203">
        <f t="shared" si="4"/>
        <v>5100</v>
      </c>
      <c r="AQ20" s="213"/>
      <c r="AR20" s="203">
        <f t="shared" si="4"/>
        <v>5100</v>
      </c>
      <c r="AS20" s="213"/>
      <c r="AT20" s="203">
        <f t="shared" si="4"/>
        <v>5100</v>
      </c>
      <c r="AU20" s="213"/>
      <c r="AV20" s="203">
        <f t="shared" si="4"/>
        <v>5100</v>
      </c>
      <c r="AW20" s="213"/>
    </row>
    <row r="21" spans="1:49" s="58" customFormat="1" ht="15" customHeight="1" x14ac:dyDescent="0.25">
      <c r="C21" s="31"/>
      <c r="D21" s="58" t="s">
        <v>210</v>
      </c>
      <c r="E21" s="72">
        <v>0.01</v>
      </c>
      <c r="F21" s="203">
        <f>F$9*$E21</f>
        <v>0</v>
      </c>
      <c r="G21" s="213"/>
      <c r="H21" s="203">
        <f>H$9*0.01</f>
        <v>850</v>
      </c>
      <c r="I21" s="213">
        <f>I$9*0.01</f>
        <v>124.06660000000001</v>
      </c>
      <c r="J21" s="203">
        <f>J$9*$E21</f>
        <v>850</v>
      </c>
      <c r="K21" s="213">
        <f>K$9*$E21</f>
        <v>288.55</v>
      </c>
      <c r="L21" s="203">
        <f>L$9*$E21</f>
        <v>850</v>
      </c>
      <c r="M21" s="213"/>
      <c r="N21" s="203">
        <f>N$9*$E21</f>
        <v>850</v>
      </c>
      <c r="O21" s="213"/>
      <c r="P21" s="203">
        <f>P$9*$E21</f>
        <v>850</v>
      </c>
      <c r="Q21" s="213"/>
      <c r="R21" s="203">
        <f>R$9*$E21</f>
        <v>850</v>
      </c>
      <c r="S21" s="213"/>
      <c r="T21" s="203">
        <f>T$9*$E21</f>
        <v>850</v>
      </c>
      <c r="U21" s="213"/>
      <c r="V21" s="203">
        <f>V$9*$E21</f>
        <v>850</v>
      </c>
      <c r="W21" s="213"/>
      <c r="X21" s="203">
        <f>X$9*$E21</f>
        <v>850</v>
      </c>
      <c r="Y21" s="213"/>
      <c r="Z21" s="203">
        <f>Z$9*$E21</f>
        <v>850</v>
      </c>
      <c r="AA21" s="213"/>
      <c r="AB21" s="203">
        <f>AB$9*$E21</f>
        <v>850</v>
      </c>
      <c r="AC21" s="213"/>
      <c r="AD21" s="203">
        <f>AD$9*$E21</f>
        <v>850</v>
      </c>
      <c r="AE21" s="213"/>
      <c r="AF21" s="203">
        <f>AF$9*$E21</f>
        <v>850</v>
      </c>
      <c r="AG21" s="213"/>
      <c r="AH21" s="203">
        <f>AH$9*$E21</f>
        <v>850</v>
      </c>
      <c r="AI21" s="213"/>
      <c r="AJ21" s="203">
        <f t="shared" si="4"/>
        <v>850</v>
      </c>
      <c r="AK21" s="213"/>
      <c r="AL21" s="203">
        <f t="shared" si="4"/>
        <v>850</v>
      </c>
      <c r="AM21" s="213"/>
      <c r="AN21" s="203">
        <f t="shared" si="4"/>
        <v>850</v>
      </c>
      <c r="AO21" s="213"/>
      <c r="AP21" s="203">
        <f t="shared" si="4"/>
        <v>850</v>
      </c>
      <c r="AQ21" s="213"/>
      <c r="AR21" s="203">
        <f t="shared" si="4"/>
        <v>850</v>
      </c>
      <c r="AS21" s="213"/>
      <c r="AT21" s="203">
        <f t="shared" si="4"/>
        <v>850</v>
      </c>
      <c r="AU21" s="213"/>
      <c r="AV21" s="203">
        <f t="shared" si="4"/>
        <v>850</v>
      </c>
      <c r="AW21" s="213"/>
    </row>
    <row r="22" spans="1:49" s="58" customFormat="1" ht="15" customHeight="1" x14ac:dyDescent="0.25">
      <c r="A22" s="58" t="s">
        <v>80</v>
      </c>
      <c r="C22" s="31"/>
      <c r="D22" s="58" t="s">
        <v>211</v>
      </c>
      <c r="E22" s="73">
        <v>0.02</v>
      </c>
      <c r="F22" s="203">
        <f>F$9*$E22</f>
        <v>0</v>
      </c>
      <c r="G22" s="213"/>
      <c r="H22" s="203">
        <f>H$9*0.02</f>
        <v>1700</v>
      </c>
      <c r="I22" s="213">
        <f>I$9*0.02</f>
        <v>248.13320000000002</v>
      </c>
      <c r="J22" s="203">
        <f>J$9*$E22</f>
        <v>1700</v>
      </c>
      <c r="K22" s="213">
        <f>K$9*$E22</f>
        <v>577.1</v>
      </c>
      <c r="L22" s="203">
        <f>L$9*$E22</f>
        <v>1700</v>
      </c>
      <c r="M22" s="213"/>
      <c r="N22" s="203">
        <f>N$9*$E22</f>
        <v>1700</v>
      </c>
      <c r="O22" s="213"/>
      <c r="P22" s="203">
        <f>P$9*$E22</f>
        <v>1700</v>
      </c>
      <c r="Q22" s="213"/>
      <c r="R22" s="203">
        <f>R$9*$E22</f>
        <v>1700</v>
      </c>
      <c r="S22" s="213"/>
      <c r="T22" s="203">
        <f>T$9*$E22</f>
        <v>1700</v>
      </c>
      <c r="U22" s="213"/>
      <c r="V22" s="203">
        <f>V$9*$E22</f>
        <v>1700</v>
      </c>
      <c r="W22" s="213"/>
      <c r="X22" s="203">
        <f>X$9*$E22</f>
        <v>1700</v>
      </c>
      <c r="Y22" s="213"/>
      <c r="Z22" s="203">
        <f>Z$9*$E22</f>
        <v>1700</v>
      </c>
      <c r="AA22" s="213"/>
      <c r="AB22" s="203">
        <f>AB$9*$E22</f>
        <v>1700</v>
      </c>
      <c r="AC22" s="213"/>
      <c r="AD22" s="203">
        <f>AD$9*$E22</f>
        <v>1700</v>
      </c>
      <c r="AE22" s="213"/>
      <c r="AF22" s="203">
        <f>AF$9*$E22</f>
        <v>1700</v>
      </c>
      <c r="AG22" s="213"/>
      <c r="AH22" s="203">
        <f>AH$9*$E22</f>
        <v>1700</v>
      </c>
      <c r="AI22" s="213"/>
      <c r="AJ22" s="203">
        <f t="shared" si="4"/>
        <v>1700</v>
      </c>
      <c r="AK22" s="213"/>
      <c r="AL22" s="203">
        <f t="shared" si="4"/>
        <v>1700</v>
      </c>
      <c r="AM22" s="213"/>
      <c r="AN22" s="203">
        <f t="shared" si="4"/>
        <v>1700</v>
      </c>
      <c r="AO22" s="213"/>
      <c r="AP22" s="203">
        <f t="shared" si="4"/>
        <v>1700</v>
      </c>
      <c r="AQ22" s="213"/>
      <c r="AR22" s="203">
        <f t="shared" si="4"/>
        <v>1700</v>
      </c>
      <c r="AS22" s="213"/>
      <c r="AT22" s="203">
        <f t="shared" si="4"/>
        <v>1700</v>
      </c>
      <c r="AU22" s="213"/>
      <c r="AV22" s="203">
        <f t="shared" si="4"/>
        <v>1700</v>
      </c>
      <c r="AW22" s="213"/>
    </row>
    <row r="23" spans="1:49" s="58" customFormat="1" ht="15" customHeight="1" x14ac:dyDescent="0.25">
      <c r="C23" s="31"/>
      <c r="D23" s="58" t="s">
        <v>167</v>
      </c>
      <c r="E23" s="78"/>
      <c r="F23" s="206">
        <f>150*30</f>
        <v>4500</v>
      </c>
      <c r="G23" s="216">
        <f t="shared" ref="G23:L23" si="5">150*30</f>
        <v>4500</v>
      </c>
      <c r="H23" s="206">
        <f>150*30</f>
        <v>4500</v>
      </c>
      <c r="I23" s="216">
        <v>4468</v>
      </c>
      <c r="J23" s="206">
        <f t="shared" si="5"/>
        <v>4500</v>
      </c>
      <c r="K23" s="216">
        <f t="shared" si="5"/>
        <v>4500</v>
      </c>
      <c r="L23" s="206">
        <f t="shared" si="5"/>
        <v>4500</v>
      </c>
      <c r="M23" s="216"/>
      <c r="N23" s="206">
        <f>120*30</f>
        <v>3600</v>
      </c>
      <c r="O23" s="216"/>
      <c r="P23" s="206">
        <f t="shared" ref="P23:AB23" si="6">120*30</f>
        <v>3600</v>
      </c>
      <c r="Q23" s="216"/>
      <c r="R23" s="206">
        <f t="shared" si="6"/>
        <v>3600</v>
      </c>
      <c r="S23" s="216"/>
      <c r="T23" s="206">
        <f t="shared" si="6"/>
        <v>3600</v>
      </c>
      <c r="U23" s="216"/>
      <c r="V23" s="206">
        <f t="shared" si="6"/>
        <v>3600</v>
      </c>
      <c r="W23" s="216"/>
      <c r="X23" s="206">
        <f t="shared" si="6"/>
        <v>3600</v>
      </c>
      <c r="Y23" s="216"/>
      <c r="Z23" s="206">
        <f t="shared" si="6"/>
        <v>3600</v>
      </c>
      <c r="AA23" s="216"/>
      <c r="AB23" s="206">
        <f t="shared" si="6"/>
        <v>3600</v>
      </c>
      <c r="AC23" s="216"/>
      <c r="AD23" s="206">
        <f>100*30</f>
        <v>3000</v>
      </c>
      <c r="AE23" s="216"/>
      <c r="AF23" s="206">
        <f t="shared" ref="AF23:AV23" si="7">100*30</f>
        <v>3000</v>
      </c>
      <c r="AG23" s="216"/>
      <c r="AH23" s="206">
        <f t="shared" si="7"/>
        <v>3000</v>
      </c>
      <c r="AI23" s="216"/>
      <c r="AJ23" s="206">
        <f t="shared" si="7"/>
        <v>3000</v>
      </c>
      <c r="AK23" s="216"/>
      <c r="AL23" s="206">
        <f t="shared" si="7"/>
        <v>3000</v>
      </c>
      <c r="AM23" s="216"/>
      <c r="AN23" s="206">
        <f t="shared" si="7"/>
        <v>3000</v>
      </c>
      <c r="AO23" s="216"/>
      <c r="AP23" s="206">
        <f t="shared" si="7"/>
        <v>3000</v>
      </c>
      <c r="AQ23" s="216"/>
      <c r="AR23" s="206">
        <f t="shared" si="7"/>
        <v>3000</v>
      </c>
      <c r="AS23" s="216"/>
      <c r="AT23" s="206">
        <f t="shared" si="7"/>
        <v>3000</v>
      </c>
      <c r="AU23" s="216"/>
      <c r="AV23" s="206">
        <f t="shared" si="7"/>
        <v>3000</v>
      </c>
      <c r="AW23" s="216"/>
    </row>
    <row r="24" spans="1:49" s="58" customFormat="1" ht="15" customHeight="1" x14ac:dyDescent="0.25">
      <c r="A24" s="58" t="s">
        <v>81</v>
      </c>
      <c r="C24" s="31"/>
      <c r="D24" s="58" t="s">
        <v>48</v>
      </c>
      <c r="E24" s="161">
        <v>800</v>
      </c>
      <c r="F24" s="203">
        <f>$E$24/12</f>
        <v>66.666666666666671</v>
      </c>
      <c r="G24" s="213">
        <f t="shared" ref="G24:AV24" si="8">$E$24/12</f>
        <v>66.666666666666671</v>
      </c>
      <c r="H24" s="203">
        <f t="shared" si="8"/>
        <v>66.666666666666671</v>
      </c>
      <c r="I24" s="213">
        <f t="shared" si="8"/>
        <v>66.666666666666671</v>
      </c>
      <c r="J24" s="203">
        <f t="shared" si="8"/>
        <v>66.666666666666671</v>
      </c>
      <c r="K24" s="213">
        <f t="shared" si="8"/>
        <v>66.666666666666671</v>
      </c>
      <c r="L24" s="203">
        <f t="shared" si="8"/>
        <v>66.666666666666671</v>
      </c>
      <c r="M24" s="213"/>
      <c r="N24" s="203">
        <f t="shared" si="8"/>
        <v>66.666666666666671</v>
      </c>
      <c r="O24" s="213"/>
      <c r="P24" s="203">
        <f t="shared" si="8"/>
        <v>66.666666666666671</v>
      </c>
      <c r="Q24" s="213"/>
      <c r="R24" s="203">
        <f t="shared" si="8"/>
        <v>66.666666666666671</v>
      </c>
      <c r="S24" s="213"/>
      <c r="T24" s="203">
        <f t="shared" si="8"/>
        <v>66.666666666666671</v>
      </c>
      <c r="U24" s="213"/>
      <c r="V24" s="203">
        <f t="shared" si="8"/>
        <v>66.666666666666671</v>
      </c>
      <c r="W24" s="213"/>
      <c r="X24" s="203">
        <f t="shared" si="8"/>
        <v>66.666666666666671</v>
      </c>
      <c r="Y24" s="213"/>
      <c r="Z24" s="203">
        <f t="shared" si="8"/>
        <v>66.666666666666671</v>
      </c>
      <c r="AA24" s="213"/>
      <c r="AB24" s="203">
        <f t="shared" si="8"/>
        <v>66.666666666666671</v>
      </c>
      <c r="AC24" s="213"/>
      <c r="AD24" s="203">
        <f t="shared" si="8"/>
        <v>66.666666666666671</v>
      </c>
      <c r="AE24" s="213"/>
      <c r="AF24" s="203">
        <f t="shared" si="8"/>
        <v>66.666666666666671</v>
      </c>
      <c r="AG24" s="213"/>
      <c r="AH24" s="203">
        <f t="shared" si="8"/>
        <v>66.666666666666671</v>
      </c>
      <c r="AI24" s="213"/>
      <c r="AJ24" s="203">
        <f t="shared" si="8"/>
        <v>66.666666666666671</v>
      </c>
      <c r="AK24" s="213"/>
      <c r="AL24" s="203">
        <f t="shared" si="8"/>
        <v>66.666666666666671</v>
      </c>
      <c r="AM24" s="213"/>
      <c r="AN24" s="203">
        <f t="shared" si="8"/>
        <v>66.666666666666671</v>
      </c>
      <c r="AO24" s="213"/>
      <c r="AP24" s="203">
        <f t="shared" si="8"/>
        <v>66.666666666666671</v>
      </c>
      <c r="AQ24" s="213"/>
      <c r="AR24" s="203">
        <f t="shared" si="8"/>
        <v>66.666666666666671</v>
      </c>
      <c r="AS24" s="213"/>
      <c r="AT24" s="203">
        <f t="shared" si="8"/>
        <v>66.666666666666671</v>
      </c>
      <c r="AU24" s="213"/>
      <c r="AV24" s="203">
        <f t="shared" si="8"/>
        <v>66.666666666666671</v>
      </c>
      <c r="AW24" s="213"/>
    </row>
    <row r="25" spans="1:49" s="58" customFormat="1" ht="15" customHeight="1" x14ac:dyDescent="0.25">
      <c r="A25" s="58" t="s">
        <v>49</v>
      </c>
      <c r="C25" s="31"/>
      <c r="D25" s="58" t="s">
        <v>49</v>
      </c>
      <c r="E25" s="161">
        <v>1350</v>
      </c>
      <c r="F25" s="203">
        <f>$E$25/12</f>
        <v>112.5</v>
      </c>
      <c r="G25" s="213">
        <f t="shared" ref="G25:AV25" si="9">$E$25/12</f>
        <v>112.5</v>
      </c>
      <c r="H25" s="203">
        <f t="shared" si="9"/>
        <v>112.5</v>
      </c>
      <c r="I25" s="213">
        <f t="shared" si="9"/>
        <v>112.5</v>
      </c>
      <c r="J25" s="203">
        <f t="shared" si="9"/>
        <v>112.5</v>
      </c>
      <c r="K25" s="213">
        <f t="shared" si="9"/>
        <v>112.5</v>
      </c>
      <c r="L25" s="203">
        <f t="shared" si="9"/>
        <v>112.5</v>
      </c>
      <c r="M25" s="213"/>
      <c r="N25" s="203">
        <f t="shared" si="9"/>
        <v>112.5</v>
      </c>
      <c r="O25" s="213"/>
      <c r="P25" s="203">
        <f t="shared" si="9"/>
        <v>112.5</v>
      </c>
      <c r="Q25" s="213"/>
      <c r="R25" s="203">
        <f t="shared" si="9"/>
        <v>112.5</v>
      </c>
      <c r="S25" s="213"/>
      <c r="T25" s="203">
        <f t="shared" si="9"/>
        <v>112.5</v>
      </c>
      <c r="U25" s="213"/>
      <c r="V25" s="203">
        <f t="shared" si="9"/>
        <v>112.5</v>
      </c>
      <c r="W25" s="213"/>
      <c r="X25" s="203">
        <f t="shared" si="9"/>
        <v>112.5</v>
      </c>
      <c r="Y25" s="213"/>
      <c r="Z25" s="203">
        <f t="shared" si="9"/>
        <v>112.5</v>
      </c>
      <c r="AA25" s="213"/>
      <c r="AB25" s="203">
        <f t="shared" si="9"/>
        <v>112.5</v>
      </c>
      <c r="AC25" s="213"/>
      <c r="AD25" s="203">
        <f t="shared" si="9"/>
        <v>112.5</v>
      </c>
      <c r="AE25" s="213"/>
      <c r="AF25" s="203">
        <f t="shared" si="9"/>
        <v>112.5</v>
      </c>
      <c r="AG25" s="213"/>
      <c r="AH25" s="203">
        <f t="shared" si="9"/>
        <v>112.5</v>
      </c>
      <c r="AI25" s="213"/>
      <c r="AJ25" s="203">
        <f t="shared" si="9"/>
        <v>112.5</v>
      </c>
      <c r="AK25" s="213"/>
      <c r="AL25" s="203">
        <f t="shared" si="9"/>
        <v>112.5</v>
      </c>
      <c r="AM25" s="213"/>
      <c r="AN25" s="203">
        <f t="shared" si="9"/>
        <v>112.5</v>
      </c>
      <c r="AO25" s="213"/>
      <c r="AP25" s="203">
        <f t="shared" si="9"/>
        <v>112.5</v>
      </c>
      <c r="AQ25" s="213"/>
      <c r="AR25" s="203">
        <f t="shared" si="9"/>
        <v>112.5</v>
      </c>
      <c r="AS25" s="213"/>
      <c r="AT25" s="203">
        <f t="shared" si="9"/>
        <v>112.5</v>
      </c>
      <c r="AU25" s="213"/>
      <c r="AV25" s="203">
        <f t="shared" si="9"/>
        <v>112.5</v>
      </c>
      <c r="AW25" s="213"/>
    </row>
    <row r="26" spans="1:49" s="58" customFormat="1" ht="15" customHeight="1" x14ac:dyDescent="0.25">
      <c r="C26" s="31"/>
      <c r="D26" s="58" t="s">
        <v>157</v>
      </c>
      <c r="E26" s="78">
        <f>(132+60)*12</f>
        <v>2304</v>
      </c>
      <c r="F26" s="203">
        <f>$E$26/12</f>
        <v>192</v>
      </c>
      <c r="G26" s="213">
        <f t="shared" ref="G26:AV26" si="10">$E$26/12</f>
        <v>192</v>
      </c>
      <c r="H26" s="203">
        <f t="shared" si="10"/>
        <v>192</v>
      </c>
      <c r="I26" s="213">
        <f t="shared" si="10"/>
        <v>192</v>
      </c>
      <c r="J26" s="203">
        <f t="shared" si="10"/>
        <v>192</v>
      </c>
      <c r="K26" s="213">
        <f t="shared" si="10"/>
        <v>192</v>
      </c>
      <c r="L26" s="203">
        <f t="shared" si="10"/>
        <v>192</v>
      </c>
      <c r="M26" s="213"/>
      <c r="N26" s="203">
        <f t="shared" si="10"/>
        <v>192</v>
      </c>
      <c r="O26" s="213"/>
      <c r="P26" s="203">
        <f t="shared" si="10"/>
        <v>192</v>
      </c>
      <c r="Q26" s="213"/>
      <c r="R26" s="203">
        <f t="shared" si="10"/>
        <v>192</v>
      </c>
      <c r="S26" s="213"/>
      <c r="T26" s="203">
        <f t="shared" si="10"/>
        <v>192</v>
      </c>
      <c r="U26" s="213"/>
      <c r="V26" s="203">
        <f t="shared" si="10"/>
        <v>192</v>
      </c>
      <c r="W26" s="213"/>
      <c r="X26" s="203">
        <f t="shared" si="10"/>
        <v>192</v>
      </c>
      <c r="Y26" s="213"/>
      <c r="Z26" s="203">
        <f t="shared" si="10"/>
        <v>192</v>
      </c>
      <c r="AA26" s="213"/>
      <c r="AB26" s="203">
        <f t="shared" si="10"/>
        <v>192</v>
      </c>
      <c r="AC26" s="213"/>
      <c r="AD26" s="203">
        <f t="shared" si="10"/>
        <v>192</v>
      </c>
      <c r="AE26" s="213"/>
      <c r="AF26" s="203">
        <f t="shared" si="10"/>
        <v>192</v>
      </c>
      <c r="AG26" s="213"/>
      <c r="AH26" s="203">
        <f t="shared" si="10"/>
        <v>192</v>
      </c>
      <c r="AI26" s="213"/>
      <c r="AJ26" s="203">
        <f t="shared" si="10"/>
        <v>192</v>
      </c>
      <c r="AK26" s="213"/>
      <c r="AL26" s="203">
        <f t="shared" si="10"/>
        <v>192</v>
      </c>
      <c r="AM26" s="213"/>
      <c r="AN26" s="203">
        <f t="shared" si="10"/>
        <v>192</v>
      </c>
      <c r="AO26" s="213"/>
      <c r="AP26" s="203">
        <f t="shared" si="10"/>
        <v>192</v>
      </c>
      <c r="AQ26" s="213"/>
      <c r="AR26" s="203">
        <f t="shared" si="10"/>
        <v>192</v>
      </c>
      <c r="AS26" s="213"/>
      <c r="AT26" s="203">
        <f t="shared" si="10"/>
        <v>192</v>
      </c>
      <c r="AU26" s="213"/>
      <c r="AV26" s="203">
        <f t="shared" si="10"/>
        <v>192</v>
      </c>
      <c r="AW26" s="213"/>
    </row>
    <row r="27" spans="1:49" s="58" customFormat="1" ht="15" customHeight="1" x14ac:dyDescent="0.25">
      <c r="A27" s="58" t="s">
        <v>16</v>
      </c>
      <c r="C27" s="31"/>
      <c r="D27" s="58" t="s">
        <v>16</v>
      </c>
      <c r="E27" s="161">
        <v>2600</v>
      </c>
      <c r="F27" s="203">
        <f>$E$27/12</f>
        <v>216.66666666666666</v>
      </c>
      <c r="G27" s="213">
        <f>$E$27/12</f>
        <v>216.66666666666666</v>
      </c>
      <c r="H27" s="203">
        <f>$E$27/12</f>
        <v>216.66666666666666</v>
      </c>
      <c r="I27" s="213">
        <f>$E$27/12</f>
        <v>216.66666666666666</v>
      </c>
      <c r="J27" s="203">
        <f>$E$27/12</f>
        <v>216.66666666666666</v>
      </c>
      <c r="K27" s="213">
        <f>$E$27/12</f>
        <v>216.66666666666666</v>
      </c>
      <c r="L27" s="203">
        <f>$E$27/12</f>
        <v>216.66666666666666</v>
      </c>
      <c r="M27" s="213"/>
      <c r="N27" s="203">
        <f>$E$27/12</f>
        <v>216.66666666666666</v>
      </c>
      <c r="O27" s="213"/>
      <c r="P27" s="203">
        <f>$E$27/12</f>
        <v>216.66666666666666</v>
      </c>
      <c r="Q27" s="213"/>
      <c r="R27" s="203">
        <f>$E$27/12</f>
        <v>216.66666666666666</v>
      </c>
      <c r="S27" s="213"/>
      <c r="T27" s="203">
        <f>$E$27/12</f>
        <v>216.66666666666666</v>
      </c>
      <c r="U27" s="213"/>
      <c r="V27" s="203">
        <f>$E$27/12</f>
        <v>216.66666666666666</v>
      </c>
      <c r="W27" s="213"/>
      <c r="X27" s="203">
        <f>$E$27/12</f>
        <v>216.66666666666666</v>
      </c>
      <c r="Y27" s="213"/>
      <c r="Z27" s="203">
        <f>$E$27/12</f>
        <v>216.66666666666666</v>
      </c>
      <c r="AA27" s="213"/>
      <c r="AB27" s="203">
        <f>$E$27/12</f>
        <v>216.66666666666666</v>
      </c>
      <c r="AC27" s="213"/>
      <c r="AD27" s="203">
        <f>$E$27/12</f>
        <v>216.66666666666666</v>
      </c>
      <c r="AE27" s="213"/>
      <c r="AF27" s="203">
        <f>$E$27/12</f>
        <v>216.66666666666666</v>
      </c>
      <c r="AG27" s="213"/>
      <c r="AH27" s="203">
        <f>$E$27/12</f>
        <v>216.66666666666666</v>
      </c>
      <c r="AI27" s="213"/>
      <c r="AJ27" s="203">
        <f>$E$27/12</f>
        <v>216.66666666666666</v>
      </c>
      <c r="AK27" s="213"/>
      <c r="AL27" s="203">
        <f>$E$27/12</f>
        <v>216.66666666666666</v>
      </c>
      <c r="AM27" s="213"/>
      <c r="AN27" s="203">
        <f>$E$27/12</f>
        <v>216.66666666666666</v>
      </c>
      <c r="AO27" s="213"/>
      <c r="AP27" s="203">
        <f>$E$27/12</f>
        <v>216.66666666666666</v>
      </c>
      <c r="AQ27" s="213"/>
      <c r="AR27" s="203">
        <f>$E$27/12</f>
        <v>216.66666666666666</v>
      </c>
      <c r="AS27" s="213"/>
      <c r="AT27" s="203">
        <f>$E$27/12</f>
        <v>216.66666666666666</v>
      </c>
      <c r="AU27" s="213"/>
      <c r="AV27" s="203">
        <f>$E$27/12</f>
        <v>216.66666666666666</v>
      </c>
      <c r="AW27" s="213"/>
    </row>
    <row r="28" spans="1:49" s="58" customFormat="1" ht="15" customHeight="1" x14ac:dyDescent="0.25">
      <c r="A28" s="58" t="s">
        <v>50</v>
      </c>
      <c r="C28" s="31"/>
      <c r="D28" s="58" t="s">
        <v>50</v>
      </c>
      <c r="E28" s="161">
        <v>250</v>
      </c>
      <c r="F28" s="203">
        <f>$E$28/12</f>
        <v>20.833333333333332</v>
      </c>
      <c r="G28" s="213">
        <f>$E$28/12</f>
        <v>20.833333333333332</v>
      </c>
      <c r="H28" s="203">
        <f>$E$28/12</f>
        <v>20.833333333333332</v>
      </c>
      <c r="I28" s="213">
        <f>$E$28/12</f>
        <v>20.833333333333332</v>
      </c>
      <c r="J28" s="203">
        <f>$E$28/12</f>
        <v>20.833333333333332</v>
      </c>
      <c r="K28" s="213">
        <f>$E$28/12</f>
        <v>20.833333333333332</v>
      </c>
      <c r="L28" s="203">
        <f>$E$28/12</f>
        <v>20.833333333333332</v>
      </c>
      <c r="M28" s="213"/>
      <c r="N28" s="203">
        <f>$E$28/12</f>
        <v>20.833333333333332</v>
      </c>
      <c r="O28" s="213"/>
      <c r="P28" s="203">
        <f>$E$28/12</f>
        <v>20.833333333333332</v>
      </c>
      <c r="Q28" s="213"/>
      <c r="R28" s="203">
        <f>$E$28/12</f>
        <v>20.833333333333332</v>
      </c>
      <c r="S28" s="213"/>
      <c r="T28" s="203">
        <f>$E$28/12</f>
        <v>20.833333333333332</v>
      </c>
      <c r="U28" s="213"/>
      <c r="V28" s="203">
        <f>$E$28/12</f>
        <v>20.833333333333332</v>
      </c>
      <c r="W28" s="213"/>
      <c r="X28" s="203">
        <f>$E$28/12</f>
        <v>20.833333333333332</v>
      </c>
      <c r="Y28" s="213"/>
      <c r="Z28" s="203">
        <f>$E$28/12</f>
        <v>20.833333333333332</v>
      </c>
      <c r="AA28" s="213"/>
      <c r="AB28" s="203">
        <f>$E$28/12</f>
        <v>20.833333333333332</v>
      </c>
      <c r="AC28" s="213"/>
      <c r="AD28" s="203">
        <f>$E$28/12</f>
        <v>20.833333333333332</v>
      </c>
      <c r="AE28" s="213"/>
      <c r="AF28" s="203">
        <f>$E$28/12</f>
        <v>20.833333333333332</v>
      </c>
      <c r="AG28" s="213"/>
      <c r="AH28" s="203">
        <f>$E$28/12</f>
        <v>20.833333333333332</v>
      </c>
      <c r="AI28" s="213"/>
      <c r="AJ28" s="203">
        <f>$E$28/12</f>
        <v>20.833333333333332</v>
      </c>
      <c r="AK28" s="213"/>
      <c r="AL28" s="203">
        <f>$E$28/12</f>
        <v>20.833333333333332</v>
      </c>
      <c r="AM28" s="213"/>
      <c r="AN28" s="203">
        <f>$E$28/12</f>
        <v>20.833333333333332</v>
      </c>
      <c r="AO28" s="213"/>
      <c r="AP28" s="203">
        <f>$E$28/12</f>
        <v>20.833333333333332</v>
      </c>
      <c r="AQ28" s="213"/>
      <c r="AR28" s="203">
        <f>$E$28/12</f>
        <v>20.833333333333332</v>
      </c>
      <c r="AS28" s="213"/>
      <c r="AT28" s="203">
        <f>$E$28/12</f>
        <v>20.833333333333332</v>
      </c>
      <c r="AU28" s="213"/>
      <c r="AV28" s="203">
        <f>$E$28/12</f>
        <v>20.833333333333332</v>
      </c>
      <c r="AW28" s="213"/>
    </row>
    <row r="29" spans="1:49" s="58" customFormat="1" ht="15" customHeight="1" x14ac:dyDescent="0.25">
      <c r="A29" s="58" t="s">
        <v>83</v>
      </c>
      <c r="C29" s="31"/>
      <c r="D29" s="58" t="s">
        <v>181</v>
      </c>
      <c r="E29" s="161">
        <f>280*12</f>
        <v>3360</v>
      </c>
      <c r="F29" s="203">
        <f>$E$29/12</f>
        <v>280</v>
      </c>
      <c r="G29" s="213">
        <f>$E$29/12</f>
        <v>280</v>
      </c>
      <c r="H29" s="203">
        <f>$E$29/12</f>
        <v>280</v>
      </c>
      <c r="I29" s="213">
        <f>$E$29/12</f>
        <v>280</v>
      </c>
      <c r="J29" s="203">
        <f>$E$29/12</f>
        <v>280</v>
      </c>
      <c r="K29" s="213">
        <f>$E$29/12</f>
        <v>280</v>
      </c>
      <c r="L29" s="203">
        <f>$E$29/12</f>
        <v>280</v>
      </c>
      <c r="M29" s="213"/>
      <c r="N29" s="203">
        <f>$E$29/12</f>
        <v>280</v>
      </c>
      <c r="O29" s="213"/>
      <c r="P29" s="203">
        <f>$E$29/12</f>
        <v>280</v>
      </c>
      <c r="Q29" s="213"/>
      <c r="R29" s="203">
        <f>$E$29/12</f>
        <v>280</v>
      </c>
      <c r="S29" s="213"/>
      <c r="T29" s="203">
        <f>$E$29/12</f>
        <v>280</v>
      </c>
      <c r="U29" s="213"/>
      <c r="V29" s="203">
        <f>$E$29/12</f>
        <v>280</v>
      </c>
      <c r="W29" s="213"/>
      <c r="X29" s="203">
        <f>$E$29/12</f>
        <v>280</v>
      </c>
      <c r="Y29" s="213"/>
      <c r="Z29" s="203">
        <f>$E$29/12</f>
        <v>280</v>
      </c>
      <c r="AA29" s="213"/>
      <c r="AB29" s="203">
        <f>$E$29/12</f>
        <v>280</v>
      </c>
      <c r="AC29" s="213"/>
      <c r="AD29" s="203">
        <f>$E$29/12</f>
        <v>280</v>
      </c>
      <c r="AE29" s="213"/>
      <c r="AF29" s="203">
        <f>$E$29/12</f>
        <v>280</v>
      </c>
      <c r="AG29" s="213"/>
      <c r="AH29" s="203">
        <f>$E$29/12</f>
        <v>280</v>
      </c>
      <c r="AI29" s="213"/>
      <c r="AJ29" s="203">
        <f>$E$29/12</f>
        <v>280</v>
      </c>
      <c r="AK29" s="213"/>
      <c r="AL29" s="203">
        <f>$E$29/12</f>
        <v>280</v>
      </c>
      <c r="AM29" s="213"/>
      <c r="AN29" s="203">
        <f>$E$29/12</f>
        <v>280</v>
      </c>
      <c r="AO29" s="213"/>
      <c r="AP29" s="203">
        <f>$E$29/12</f>
        <v>280</v>
      </c>
      <c r="AQ29" s="213"/>
      <c r="AR29" s="203">
        <f>$E$29/12</f>
        <v>280</v>
      </c>
      <c r="AS29" s="213"/>
      <c r="AT29" s="203">
        <f>$E$29/12</f>
        <v>280</v>
      </c>
      <c r="AU29" s="213"/>
      <c r="AV29" s="203">
        <f>$E$29/12</f>
        <v>280</v>
      </c>
      <c r="AW29" s="213"/>
    </row>
    <row r="30" spans="1:49" s="58" customFormat="1" ht="15" customHeight="1" x14ac:dyDescent="0.25">
      <c r="A30" s="58" t="s">
        <v>51</v>
      </c>
      <c r="C30" s="31"/>
      <c r="D30" s="58" t="s">
        <v>51</v>
      </c>
      <c r="E30" s="161">
        <v>1902</v>
      </c>
      <c r="F30" s="203">
        <f>$E$30+48</f>
        <v>1950</v>
      </c>
      <c r="G30" s="213">
        <f>$E$30+48</f>
        <v>1950</v>
      </c>
      <c r="H30" s="203">
        <f>$E$30+48</f>
        <v>1950</v>
      </c>
      <c r="I30" s="213">
        <f>$E$30+48</f>
        <v>1950</v>
      </c>
      <c r="J30" s="203">
        <f>$E$30+48</f>
        <v>1950</v>
      </c>
      <c r="K30" s="213">
        <f>$E$30+48</f>
        <v>1950</v>
      </c>
      <c r="L30" s="203">
        <f>$E$30+48</f>
        <v>1950</v>
      </c>
      <c r="M30" s="213"/>
      <c r="N30" s="203">
        <f>$E$30+48</f>
        <v>1950</v>
      </c>
      <c r="O30" s="213"/>
      <c r="P30" s="203">
        <f>$E$30+48</f>
        <v>1950</v>
      </c>
      <c r="Q30" s="213"/>
      <c r="R30" s="203">
        <f>$E$30+48</f>
        <v>1950</v>
      </c>
      <c r="S30" s="213"/>
      <c r="T30" s="203">
        <f>$E$30+48</f>
        <v>1950</v>
      </c>
      <c r="U30" s="213"/>
      <c r="V30" s="203">
        <f>$E$30+48</f>
        <v>1950</v>
      </c>
      <c r="W30" s="213"/>
      <c r="X30" s="203">
        <f>$E$30+48</f>
        <v>1950</v>
      </c>
      <c r="Y30" s="213"/>
      <c r="Z30" s="203">
        <f>$E$30+48</f>
        <v>1950</v>
      </c>
      <c r="AA30" s="213"/>
      <c r="AB30" s="203">
        <f>$E$30+48</f>
        <v>1950</v>
      </c>
      <c r="AC30" s="213"/>
      <c r="AD30" s="203">
        <f>$E$30+48</f>
        <v>1950</v>
      </c>
      <c r="AE30" s="213"/>
      <c r="AF30" s="203">
        <f>$E$30+48</f>
        <v>1950</v>
      </c>
      <c r="AG30" s="213"/>
      <c r="AH30" s="203">
        <f>$E$30+48</f>
        <v>1950</v>
      </c>
      <c r="AI30" s="213"/>
      <c r="AJ30" s="203">
        <f>$E$30+48</f>
        <v>1950</v>
      </c>
      <c r="AK30" s="213"/>
      <c r="AL30" s="203">
        <f>$E$30+48</f>
        <v>1950</v>
      </c>
      <c r="AM30" s="213"/>
      <c r="AN30" s="203">
        <f>$E$30+48</f>
        <v>1950</v>
      </c>
      <c r="AO30" s="213"/>
      <c r="AP30" s="203">
        <f>$E$30+48</f>
        <v>1950</v>
      </c>
      <c r="AQ30" s="213"/>
      <c r="AR30" s="203">
        <f>$E$30+48</f>
        <v>1950</v>
      </c>
      <c r="AS30" s="213"/>
      <c r="AT30" s="203">
        <f>$E$30+48</f>
        <v>1950</v>
      </c>
      <c r="AU30" s="213"/>
      <c r="AV30" s="203">
        <f>$E$30+48</f>
        <v>1950</v>
      </c>
      <c r="AW30" s="213"/>
    </row>
    <row r="31" spans="1:49" s="61" customFormat="1" ht="15" customHeight="1" thickBot="1" x14ac:dyDescent="0.3">
      <c r="C31" s="54"/>
      <c r="E31" s="68"/>
      <c r="F31" s="207">
        <f>SUM(F20:F30)</f>
        <v>7338.666666666667</v>
      </c>
      <c r="G31" s="217">
        <f>SUM(G20:G30)</f>
        <v>7338.666666666667</v>
      </c>
      <c r="H31" s="207">
        <f>SUM(H20:H30)</f>
        <v>14988.666666666666</v>
      </c>
      <c r="I31" s="217">
        <f>SUM(I20:I30)</f>
        <v>8423.266066666667</v>
      </c>
      <c r="J31" s="207">
        <f>SUM(J20:J30)</f>
        <v>14988.666666666666</v>
      </c>
      <c r="K31" s="217">
        <f>SUM(K20:K30)</f>
        <v>9935.6166666666668</v>
      </c>
      <c r="L31" s="207">
        <f>SUM(L20:L30)</f>
        <v>14988.666666666666</v>
      </c>
      <c r="M31" s="217"/>
      <c r="N31" s="207">
        <f>SUM(N20:N30)</f>
        <v>14088.666666666666</v>
      </c>
      <c r="O31" s="217"/>
      <c r="P31" s="207">
        <f>SUM(P20:P30)</f>
        <v>14088.666666666666</v>
      </c>
      <c r="Q31" s="217"/>
      <c r="R31" s="207">
        <f>SUM(R20:R30)</f>
        <v>14088.666666666666</v>
      </c>
      <c r="S31" s="217"/>
      <c r="T31" s="207">
        <f>SUM(T20:T30)</f>
        <v>14088.666666666666</v>
      </c>
      <c r="U31" s="217"/>
      <c r="V31" s="207">
        <f>SUM(V20:V30)</f>
        <v>14088.666666666666</v>
      </c>
      <c r="W31" s="217"/>
      <c r="X31" s="207">
        <f>SUM(X20:X30)</f>
        <v>14088.666666666666</v>
      </c>
      <c r="Y31" s="217"/>
      <c r="Z31" s="207">
        <f>SUM(Z20:Z30)</f>
        <v>14088.666666666666</v>
      </c>
      <c r="AA31" s="217"/>
      <c r="AB31" s="207">
        <f>SUM(AB20:AB30)</f>
        <v>14088.666666666666</v>
      </c>
      <c r="AC31" s="217"/>
      <c r="AD31" s="207">
        <f>SUM(AD20:AD30)</f>
        <v>13488.666666666666</v>
      </c>
      <c r="AE31" s="217"/>
      <c r="AF31" s="207">
        <f>SUM(AF20:AF30)</f>
        <v>13488.666666666666</v>
      </c>
      <c r="AG31" s="217"/>
      <c r="AH31" s="207">
        <f>SUM(AH20:AH30)</f>
        <v>13488.666666666666</v>
      </c>
      <c r="AI31" s="217"/>
      <c r="AJ31" s="207">
        <f>SUM(AJ20:AJ30)</f>
        <v>13488.666666666666</v>
      </c>
      <c r="AK31" s="217"/>
      <c r="AL31" s="207">
        <f>SUM(AL20:AL30)</f>
        <v>13488.666666666666</v>
      </c>
      <c r="AM31" s="217"/>
      <c r="AN31" s="207">
        <f>SUM(AN20:AN30)</f>
        <v>13488.666666666666</v>
      </c>
      <c r="AO31" s="217"/>
      <c r="AP31" s="207">
        <f>SUM(AP20:AP30)</f>
        <v>13488.666666666666</v>
      </c>
      <c r="AQ31" s="217"/>
      <c r="AR31" s="207">
        <f>SUM(AR20:AR30)</f>
        <v>13488.666666666666</v>
      </c>
      <c r="AS31" s="217"/>
      <c r="AT31" s="207">
        <f>SUM(AT20:AT30)</f>
        <v>13488.666666666666</v>
      </c>
      <c r="AU31" s="217"/>
      <c r="AV31" s="207">
        <f>SUM(AV20:AV30)</f>
        <v>13488.666666666666</v>
      </c>
      <c r="AW31" s="217"/>
    </row>
    <row r="32" spans="1:49" s="75" customFormat="1" ht="15" customHeight="1" thickTop="1" x14ac:dyDescent="0.25">
      <c r="C32" s="33" t="s">
        <v>84</v>
      </c>
      <c r="E32" s="72"/>
      <c r="F32" s="208"/>
      <c r="G32" s="218"/>
      <c r="H32" s="208"/>
      <c r="I32" s="218"/>
      <c r="J32" s="208"/>
      <c r="K32" s="218"/>
      <c r="L32" s="208"/>
      <c r="M32" s="218"/>
      <c r="N32" s="208"/>
      <c r="O32" s="218"/>
      <c r="P32" s="208"/>
      <c r="Q32" s="218"/>
      <c r="R32" s="208"/>
      <c r="S32" s="218"/>
      <c r="T32" s="208"/>
      <c r="U32" s="218"/>
      <c r="V32" s="208"/>
      <c r="W32" s="218"/>
      <c r="X32" s="208"/>
      <c r="Y32" s="218"/>
      <c r="Z32" s="208"/>
      <c r="AA32" s="218"/>
      <c r="AB32" s="208"/>
      <c r="AC32" s="218"/>
      <c r="AD32" s="208"/>
      <c r="AE32" s="218"/>
      <c r="AF32" s="208"/>
      <c r="AG32" s="218"/>
      <c r="AH32" s="208"/>
      <c r="AI32" s="218"/>
      <c r="AJ32" s="208"/>
      <c r="AK32" s="218"/>
      <c r="AL32" s="208"/>
      <c r="AM32" s="218"/>
      <c r="AN32" s="208"/>
      <c r="AO32" s="218"/>
      <c r="AP32" s="208"/>
      <c r="AQ32" s="218"/>
      <c r="AR32" s="208"/>
      <c r="AS32" s="218"/>
      <c r="AT32" s="208"/>
      <c r="AU32" s="218"/>
      <c r="AV32" s="208"/>
      <c r="AW32" s="218"/>
    </row>
    <row r="33" spans="3:49" s="75" customFormat="1" ht="15" customHeight="1" x14ac:dyDescent="0.25">
      <c r="C33" s="31"/>
      <c r="D33" s="58" t="s">
        <v>53</v>
      </c>
      <c r="E33" s="162" t="s">
        <v>169</v>
      </c>
      <c r="F33" s="206">
        <f>$AB$49/12</f>
        <v>4828.7</v>
      </c>
      <c r="G33" s="216">
        <f>$AB$49/12</f>
        <v>4828.7</v>
      </c>
      <c r="H33" s="206">
        <f>$AB$49/12</f>
        <v>4828.7</v>
      </c>
      <c r="I33" s="216">
        <f>$AB$49/12</f>
        <v>4828.7</v>
      </c>
      <c r="J33" s="206">
        <f>$AB$49/12</f>
        <v>4828.7</v>
      </c>
      <c r="K33" s="216">
        <f>$AB$49/12</f>
        <v>4828.7</v>
      </c>
      <c r="L33" s="206">
        <f>$AB$49/12</f>
        <v>4828.7</v>
      </c>
      <c r="M33" s="216"/>
      <c r="N33" s="206">
        <f>$AB$49/12</f>
        <v>4828.7</v>
      </c>
      <c r="O33" s="216"/>
      <c r="P33" s="206">
        <f>$AB$49/12</f>
        <v>4828.7</v>
      </c>
      <c r="Q33" s="216"/>
      <c r="R33" s="206">
        <f>$AB$49/12</f>
        <v>4828.7</v>
      </c>
      <c r="S33" s="216"/>
      <c r="T33" s="206">
        <f>$AB$49/12</f>
        <v>4828.7</v>
      </c>
      <c r="U33" s="216"/>
      <c r="V33" s="206">
        <f>$AB$49/12</f>
        <v>4828.7</v>
      </c>
      <c r="W33" s="216"/>
      <c r="X33" s="206">
        <f t="shared" ref="X33:AT33" si="11">$AB$49/12</f>
        <v>4828.7</v>
      </c>
      <c r="Y33" s="216"/>
      <c r="Z33" s="206">
        <f t="shared" si="11"/>
        <v>4828.7</v>
      </c>
      <c r="AA33" s="216"/>
      <c r="AB33" s="206">
        <f t="shared" si="11"/>
        <v>4828.7</v>
      </c>
      <c r="AC33" s="216"/>
      <c r="AD33" s="206">
        <f t="shared" si="11"/>
        <v>4828.7</v>
      </c>
      <c r="AE33" s="216"/>
      <c r="AF33" s="206">
        <f t="shared" si="11"/>
        <v>4828.7</v>
      </c>
      <c r="AG33" s="216"/>
      <c r="AH33" s="206">
        <f t="shared" si="11"/>
        <v>4828.7</v>
      </c>
      <c r="AI33" s="216"/>
      <c r="AJ33" s="206">
        <f t="shared" si="11"/>
        <v>4828.7</v>
      </c>
      <c r="AK33" s="216"/>
      <c r="AL33" s="206">
        <f t="shared" si="11"/>
        <v>4828.7</v>
      </c>
      <c r="AM33" s="216"/>
      <c r="AN33" s="206">
        <f t="shared" si="11"/>
        <v>4828.7</v>
      </c>
      <c r="AO33" s="216"/>
      <c r="AP33" s="206">
        <f t="shared" si="11"/>
        <v>4828.7</v>
      </c>
      <c r="AQ33" s="216"/>
      <c r="AR33" s="206">
        <f t="shared" si="11"/>
        <v>4828.7</v>
      </c>
      <c r="AS33" s="216"/>
      <c r="AT33" s="206">
        <f t="shared" si="11"/>
        <v>4828.7</v>
      </c>
      <c r="AU33" s="216"/>
      <c r="AV33" s="206">
        <f>$AB$49/12</f>
        <v>4828.7</v>
      </c>
      <c r="AW33" s="216"/>
    </row>
    <row r="34" spans="3:49" s="75" customFormat="1" ht="15" customHeight="1" x14ac:dyDescent="0.25">
      <c r="C34" s="31"/>
      <c r="D34" s="58" t="s">
        <v>54</v>
      </c>
      <c r="E34" s="161">
        <v>3400</v>
      </c>
      <c r="F34" s="203">
        <f>$E$34/12</f>
        <v>283.33333333333331</v>
      </c>
      <c r="G34" s="213">
        <f>$E$34/12</f>
        <v>283.33333333333331</v>
      </c>
      <c r="H34" s="203">
        <f>$E$34/12</f>
        <v>283.33333333333331</v>
      </c>
      <c r="I34" s="213">
        <f>$E$34/12</f>
        <v>283.33333333333331</v>
      </c>
      <c r="J34" s="203">
        <f>$E$34/12</f>
        <v>283.33333333333331</v>
      </c>
      <c r="K34" s="213">
        <f>$E$34/12</f>
        <v>283.33333333333331</v>
      </c>
      <c r="L34" s="203">
        <f>$E$34/12</f>
        <v>283.33333333333331</v>
      </c>
      <c r="M34" s="213"/>
      <c r="N34" s="203">
        <f>$E$34/12</f>
        <v>283.33333333333331</v>
      </c>
      <c r="O34" s="213"/>
      <c r="P34" s="203">
        <f>$E$34/12</f>
        <v>283.33333333333331</v>
      </c>
      <c r="Q34" s="213"/>
      <c r="R34" s="203">
        <f>$E$34/12</f>
        <v>283.33333333333331</v>
      </c>
      <c r="S34" s="213"/>
      <c r="T34" s="203">
        <f>$E$34/12</f>
        <v>283.33333333333331</v>
      </c>
      <c r="U34" s="213"/>
      <c r="V34" s="203">
        <f>$E$34/12</f>
        <v>283.33333333333331</v>
      </c>
      <c r="W34" s="213"/>
      <c r="X34" s="203">
        <f>$E$34/12</f>
        <v>283.33333333333331</v>
      </c>
      <c r="Y34" s="213"/>
      <c r="Z34" s="203">
        <f>$E$34/12</f>
        <v>283.33333333333331</v>
      </c>
      <c r="AA34" s="213"/>
      <c r="AB34" s="203">
        <f>$E$34/12</f>
        <v>283.33333333333331</v>
      </c>
      <c r="AC34" s="213"/>
      <c r="AD34" s="203">
        <f>$E$34/12</f>
        <v>283.33333333333331</v>
      </c>
      <c r="AE34" s="213"/>
      <c r="AF34" s="203">
        <f>$E$34/12</f>
        <v>283.33333333333331</v>
      </c>
      <c r="AG34" s="213"/>
      <c r="AH34" s="203">
        <f>$E$34/12</f>
        <v>283.33333333333331</v>
      </c>
      <c r="AI34" s="213"/>
      <c r="AJ34" s="203">
        <f>$E$34/12</f>
        <v>283.33333333333331</v>
      </c>
      <c r="AK34" s="213"/>
      <c r="AL34" s="203">
        <f>$E$34/12</f>
        <v>283.33333333333331</v>
      </c>
      <c r="AM34" s="213"/>
      <c r="AN34" s="203">
        <f>$E$34/12</f>
        <v>283.33333333333331</v>
      </c>
      <c r="AO34" s="213"/>
      <c r="AP34" s="203">
        <f>$E$34/12</f>
        <v>283.33333333333331</v>
      </c>
      <c r="AQ34" s="213"/>
      <c r="AR34" s="203">
        <f>$E$34/12</f>
        <v>283.33333333333331</v>
      </c>
      <c r="AS34" s="213"/>
      <c r="AT34" s="203">
        <f>$E$34/12</f>
        <v>283.33333333333331</v>
      </c>
      <c r="AU34" s="213"/>
      <c r="AV34" s="203">
        <f>$E$34/12</f>
        <v>283.33333333333331</v>
      </c>
      <c r="AW34" s="213"/>
    </row>
    <row r="35" spans="3:49" s="61" customFormat="1" ht="15" customHeight="1" thickBot="1" x14ac:dyDescent="0.3">
      <c r="C35" s="54"/>
      <c r="E35" s="66"/>
      <c r="F35" s="207">
        <f t="shared" ref="F35:V35" si="12">SUM(F33:F34)</f>
        <v>5112.0333333333328</v>
      </c>
      <c r="G35" s="217">
        <f t="shared" ref="G35:I35" si="13">SUM(G33:G34)</f>
        <v>5112.0333333333328</v>
      </c>
      <c r="H35" s="207">
        <f t="shared" si="12"/>
        <v>5112.0333333333328</v>
      </c>
      <c r="I35" s="217">
        <f t="shared" si="13"/>
        <v>5112.0333333333328</v>
      </c>
      <c r="J35" s="207">
        <f t="shared" si="12"/>
        <v>5112.0333333333328</v>
      </c>
      <c r="K35" s="217">
        <f t="shared" ref="K35" si="14">SUM(K33:K34)</f>
        <v>5112.0333333333328</v>
      </c>
      <c r="L35" s="207">
        <f t="shared" si="12"/>
        <v>5112.0333333333328</v>
      </c>
      <c r="M35" s="217"/>
      <c r="N35" s="207">
        <f t="shared" si="12"/>
        <v>5112.0333333333328</v>
      </c>
      <c r="O35" s="217"/>
      <c r="P35" s="207">
        <f t="shared" si="12"/>
        <v>5112.0333333333328</v>
      </c>
      <c r="Q35" s="217"/>
      <c r="R35" s="207">
        <f t="shared" si="12"/>
        <v>5112.0333333333328</v>
      </c>
      <c r="S35" s="217"/>
      <c r="T35" s="207">
        <f t="shared" si="12"/>
        <v>5112.0333333333328</v>
      </c>
      <c r="U35" s="217"/>
      <c r="V35" s="207">
        <f t="shared" si="12"/>
        <v>5112.0333333333328</v>
      </c>
      <c r="W35" s="217"/>
      <c r="X35" s="207">
        <f t="shared" ref="X35:AT35" si="15">SUM(X33:X34)</f>
        <v>5112.0333333333328</v>
      </c>
      <c r="Y35" s="217"/>
      <c r="Z35" s="207">
        <f t="shared" si="15"/>
        <v>5112.0333333333328</v>
      </c>
      <c r="AA35" s="217"/>
      <c r="AB35" s="207">
        <f t="shared" si="15"/>
        <v>5112.0333333333328</v>
      </c>
      <c r="AC35" s="217"/>
      <c r="AD35" s="207">
        <f t="shared" si="15"/>
        <v>5112.0333333333328</v>
      </c>
      <c r="AE35" s="217"/>
      <c r="AF35" s="207">
        <f t="shared" si="15"/>
        <v>5112.0333333333328</v>
      </c>
      <c r="AG35" s="217"/>
      <c r="AH35" s="207">
        <f t="shared" si="15"/>
        <v>5112.0333333333328</v>
      </c>
      <c r="AI35" s="217"/>
      <c r="AJ35" s="207">
        <f t="shared" si="15"/>
        <v>5112.0333333333328</v>
      </c>
      <c r="AK35" s="217"/>
      <c r="AL35" s="207">
        <f t="shared" si="15"/>
        <v>5112.0333333333328</v>
      </c>
      <c r="AM35" s="217"/>
      <c r="AN35" s="207">
        <f t="shared" si="15"/>
        <v>5112.0333333333328</v>
      </c>
      <c r="AO35" s="217"/>
      <c r="AP35" s="207">
        <f t="shared" si="15"/>
        <v>5112.0333333333328</v>
      </c>
      <c r="AQ35" s="217"/>
      <c r="AR35" s="207">
        <f t="shared" si="15"/>
        <v>5112.0333333333328</v>
      </c>
      <c r="AS35" s="217"/>
      <c r="AT35" s="207">
        <f t="shared" si="15"/>
        <v>5112.0333333333328</v>
      </c>
      <c r="AU35" s="217"/>
      <c r="AV35" s="207">
        <f t="shared" ref="AV35" si="16">SUM(AV33:AV34)</f>
        <v>5112.0333333333328</v>
      </c>
      <c r="AW35" s="217"/>
    </row>
    <row r="36" spans="3:49" ht="15" customHeight="1" thickTop="1" x14ac:dyDescent="0.25">
      <c r="E36" s="59"/>
      <c r="F36" s="200"/>
      <c r="G36" s="210"/>
      <c r="H36" s="200"/>
      <c r="I36" s="210"/>
      <c r="J36" s="200"/>
      <c r="K36" s="210"/>
      <c r="L36" s="200"/>
      <c r="M36" s="210"/>
      <c r="N36" s="200"/>
      <c r="O36" s="210"/>
      <c r="P36" s="200"/>
      <c r="Q36" s="210"/>
      <c r="R36" s="200"/>
      <c r="S36" s="210"/>
      <c r="T36" s="200"/>
      <c r="U36" s="210"/>
      <c r="V36" s="200"/>
      <c r="W36" s="210"/>
      <c r="X36" s="200"/>
      <c r="Y36" s="210"/>
      <c r="Z36" s="200"/>
      <c r="AA36" s="210"/>
      <c r="AB36" s="200"/>
      <c r="AC36" s="210"/>
      <c r="AD36" s="200"/>
      <c r="AE36" s="210"/>
      <c r="AF36" s="200"/>
      <c r="AG36" s="210"/>
      <c r="AH36" s="200"/>
      <c r="AI36" s="210"/>
      <c r="AJ36" s="200"/>
      <c r="AK36" s="210"/>
      <c r="AL36" s="200"/>
      <c r="AM36" s="210"/>
      <c r="AN36" s="200"/>
      <c r="AO36" s="210"/>
      <c r="AP36" s="200"/>
      <c r="AQ36" s="210"/>
      <c r="AR36" s="200"/>
      <c r="AS36" s="210"/>
      <c r="AT36" s="200"/>
      <c r="AU36" s="210"/>
      <c r="AV36" s="200"/>
      <c r="AW36" s="210"/>
    </row>
    <row r="37" spans="3:49" s="58" customFormat="1" ht="15" customHeight="1" thickBot="1" x14ac:dyDescent="0.3">
      <c r="C37" s="54" t="s">
        <v>134</v>
      </c>
      <c r="D37" s="61"/>
      <c r="E37" s="66"/>
      <c r="F37" s="209">
        <f>F17-F31-F35</f>
        <v>-22193.124</v>
      </c>
      <c r="G37" s="209">
        <f>G17-G31-G35</f>
        <v>-12450.7</v>
      </c>
      <c r="H37" s="209">
        <f>H17-H31-H35</f>
        <v>11242.848602739728</v>
      </c>
      <c r="I37" s="209">
        <f>I17-I31-I35</f>
        <v>-17415.704306</v>
      </c>
      <c r="J37" s="209">
        <f>J17-J31-J35</f>
        <v>11242.848602739728</v>
      </c>
      <c r="K37" s="209">
        <f>K17-K31-K35</f>
        <v>-9961.3184999999994</v>
      </c>
      <c r="L37" s="209">
        <f>L17-L31-L35</f>
        <v>11242.848602739728</v>
      </c>
      <c r="M37" s="219"/>
      <c r="N37" s="209">
        <f>N17-N31-N35</f>
        <v>12142.84860273973</v>
      </c>
      <c r="O37" s="219"/>
      <c r="P37" s="209">
        <f>P17-P31-P35</f>
        <v>12142.84860273973</v>
      </c>
      <c r="Q37" s="219"/>
      <c r="R37" s="209">
        <f>R17-R31-R35</f>
        <v>12142.84860273973</v>
      </c>
      <c r="S37" s="219"/>
      <c r="T37" s="209">
        <f>T17-T31-T35</f>
        <v>12142.84860273973</v>
      </c>
      <c r="U37" s="219"/>
      <c r="V37" s="209">
        <f>V17-V31-V35</f>
        <v>12142.84860273973</v>
      </c>
      <c r="W37" s="219"/>
      <c r="X37" s="209">
        <f>X17-X31-X35</f>
        <v>12142.84860273973</v>
      </c>
      <c r="Y37" s="219"/>
      <c r="Z37" s="209">
        <f>Z17-Z31-Z35</f>
        <v>12142.84860273973</v>
      </c>
      <c r="AA37" s="219"/>
      <c r="AB37" s="209">
        <f>AB17-AB31-AB35</f>
        <v>12142.84860273973</v>
      </c>
      <c r="AC37" s="219"/>
      <c r="AD37" s="209">
        <f>AD17-AD31-AD35</f>
        <v>12742.84860273973</v>
      </c>
      <c r="AE37" s="219"/>
      <c r="AF37" s="209">
        <f>AF17-AF31-AF35</f>
        <v>12450.575882739729</v>
      </c>
      <c r="AG37" s="219"/>
      <c r="AH37" s="209">
        <f>AH17-AH31-AH35</f>
        <v>12450.575882739729</v>
      </c>
      <c r="AI37" s="219"/>
      <c r="AJ37" s="209">
        <f>AJ17-AJ31-AJ35</f>
        <v>12450.575882739729</v>
      </c>
      <c r="AK37" s="219"/>
      <c r="AL37" s="209">
        <f>AL17-AL31-AL35</f>
        <v>12450.575882739729</v>
      </c>
      <c r="AM37" s="219"/>
      <c r="AN37" s="209">
        <f>AN17-AN31-AN35</f>
        <v>12450.575882739729</v>
      </c>
      <c r="AO37" s="219"/>
      <c r="AP37" s="209">
        <f>AP17-AP31-AP35</f>
        <v>12450.575882739729</v>
      </c>
      <c r="AQ37" s="219"/>
      <c r="AR37" s="209">
        <f>AR17-AR31-AR35</f>
        <v>12450.575882739729</v>
      </c>
      <c r="AS37" s="219"/>
      <c r="AT37" s="209">
        <f>AT17-AT31-AT35</f>
        <v>12450.575882739729</v>
      </c>
      <c r="AU37" s="219"/>
      <c r="AV37" s="209">
        <f>AV17-AV31-AV35</f>
        <v>12450.575882739729</v>
      </c>
      <c r="AW37" s="219"/>
    </row>
    <row r="38" spans="3:49" s="58" customFormat="1" ht="15" customHeight="1" thickTop="1" x14ac:dyDescent="0.25">
      <c r="C38" s="31"/>
      <c r="E38" s="111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7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</row>
    <row r="39" spans="3:49" s="58" customFormat="1" ht="15" customHeight="1" x14ac:dyDescent="0.25">
      <c r="C39" s="31"/>
      <c r="E39" s="111"/>
    </row>
    <row r="40" spans="3:49" ht="15" customHeight="1" x14ac:dyDescent="0.25"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</row>
    <row r="41" spans="3:49" ht="15" customHeight="1" x14ac:dyDescent="0.25"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</row>
    <row r="42" spans="3:49" ht="15" customHeight="1" x14ac:dyDescent="0.25">
      <c r="C42" s="176" t="s">
        <v>57</v>
      </c>
      <c r="D42" s="177"/>
      <c r="E42" s="178"/>
      <c r="H42" s="30" t="s">
        <v>149</v>
      </c>
      <c r="I42" s="30"/>
      <c r="J42" s="30"/>
      <c r="K42" s="30"/>
      <c r="L42" s="30"/>
      <c r="M42" s="30"/>
      <c r="N42" s="30"/>
      <c r="O42" s="30"/>
      <c r="P42" s="30"/>
      <c r="Q42" s="194"/>
      <c r="R42" s="84"/>
      <c r="S42" s="84"/>
      <c r="V42" s="30" t="s">
        <v>87</v>
      </c>
      <c r="W42" s="30"/>
      <c r="X42" s="30"/>
      <c r="Y42" s="30"/>
      <c r="Z42" s="30"/>
      <c r="AA42" s="30"/>
      <c r="AB42" s="30"/>
      <c r="AC42" s="194"/>
      <c r="AD42" s="84"/>
      <c r="AE42" s="84"/>
      <c r="AF42" s="84"/>
      <c r="AG42" s="84"/>
      <c r="AH42" s="84"/>
      <c r="AI42" s="84"/>
    </row>
    <row r="43" spans="3:49" ht="15" customHeight="1" x14ac:dyDescent="0.25">
      <c r="D43" s="34" t="s">
        <v>141</v>
      </c>
      <c r="E43" s="163">
        <v>8</v>
      </c>
      <c r="L43" s="29" t="s">
        <v>151</v>
      </c>
      <c r="N43" s="29" t="s">
        <v>150</v>
      </c>
      <c r="R43" s="84"/>
      <c r="S43" s="84"/>
      <c r="V43" s="29" t="s">
        <v>88</v>
      </c>
      <c r="Z43" s="166">
        <v>1308</v>
      </c>
      <c r="AA43" s="166"/>
      <c r="AB43" s="141"/>
      <c r="AC43" s="195"/>
      <c r="AD43" s="84"/>
      <c r="AE43" s="84"/>
      <c r="AF43" s="84"/>
      <c r="AG43" s="84"/>
      <c r="AH43" s="84"/>
      <c r="AI43" s="84"/>
      <c r="AR43" s="58"/>
      <c r="AS43" s="58"/>
    </row>
    <row r="44" spans="3:49" ht="15" customHeight="1" x14ac:dyDescent="0.25">
      <c r="D44" s="34" t="s">
        <v>142</v>
      </c>
      <c r="E44" s="164">
        <v>8</v>
      </c>
      <c r="H44" s="29" t="s">
        <v>55</v>
      </c>
      <c r="L44" s="166">
        <v>32</v>
      </c>
      <c r="M44" s="166"/>
      <c r="N44" s="173">
        <v>23</v>
      </c>
      <c r="O44" s="173"/>
      <c r="P44" s="141">
        <f>L44*N44*P54</f>
        <v>3164.7999999999997</v>
      </c>
      <c r="Q44" s="195"/>
      <c r="R44" s="84"/>
      <c r="S44" s="84"/>
      <c r="V44" s="29" t="s">
        <v>89</v>
      </c>
      <c r="Z44" s="166">
        <v>26</v>
      </c>
      <c r="AA44" s="166"/>
      <c r="AB44" s="141">
        <f>$Z$43*Z44</f>
        <v>34008</v>
      </c>
      <c r="AC44" s="195"/>
      <c r="AD44" s="84"/>
      <c r="AE44" s="84"/>
      <c r="AF44" s="84"/>
      <c r="AG44" s="84"/>
      <c r="AH44" s="84"/>
      <c r="AI44" s="84"/>
    </row>
    <row r="45" spans="3:49" ht="15" customHeight="1" x14ac:dyDescent="0.25">
      <c r="D45" s="34" t="s">
        <v>143</v>
      </c>
      <c r="E45" s="164">
        <v>8</v>
      </c>
      <c r="H45" s="29" t="s">
        <v>166</v>
      </c>
      <c r="L45" s="166">
        <v>0</v>
      </c>
      <c r="M45" s="166"/>
      <c r="N45" s="173">
        <v>23</v>
      </c>
      <c r="O45" s="173"/>
      <c r="P45" s="141">
        <f>L45*N45*P54</f>
        <v>0</v>
      </c>
      <c r="Q45" s="195"/>
      <c r="R45" s="84"/>
      <c r="S45" s="84"/>
      <c r="V45" s="29" t="s">
        <v>90</v>
      </c>
      <c r="Z45" s="166">
        <v>18.3</v>
      </c>
      <c r="AA45" s="166"/>
      <c r="AB45" s="141">
        <f>$Z$43*Z45</f>
        <v>23936.400000000001</v>
      </c>
      <c r="AC45" s="195"/>
      <c r="AF45" s="84"/>
      <c r="AG45" s="84"/>
      <c r="AH45" s="84"/>
      <c r="AI45" s="84"/>
    </row>
    <row r="46" spans="3:49" ht="15" customHeight="1" x14ac:dyDescent="0.25">
      <c r="D46" s="34" t="s">
        <v>144</v>
      </c>
      <c r="E46" s="164">
        <v>8</v>
      </c>
      <c r="H46" s="29" t="s">
        <v>163</v>
      </c>
      <c r="L46" s="166">
        <v>32</v>
      </c>
      <c r="M46" s="166"/>
      <c r="N46" s="173">
        <v>21.5</v>
      </c>
      <c r="O46" s="173"/>
      <c r="P46" s="141">
        <f>L46*N46*P54</f>
        <v>2958.4</v>
      </c>
      <c r="Q46" s="195"/>
      <c r="R46" s="84"/>
      <c r="S46" s="84"/>
      <c r="V46" s="29" t="s">
        <v>91</v>
      </c>
      <c r="Z46" s="79">
        <v>0</v>
      </c>
      <c r="AA46" s="79"/>
      <c r="AB46" s="141">
        <f>$Z$43*Z46</f>
        <v>0</v>
      </c>
      <c r="AC46" s="195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</row>
    <row r="47" spans="3:49" ht="15" customHeight="1" x14ac:dyDescent="0.25">
      <c r="D47" s="34" t="s">
        <v>145</v>
      </c>
      <c r="E47" s="164">
        <v>8</v>
      </c>
      <c r="H47" s="29" t="s">
        <v>164</v>
      </c>
      <c r="L47" s="166">
        <v>32</v>
      </c>
      <c r="M47" s="166"/>
      <c r="N47" s="173">
        <v>19</v>
      </c>
      <c r="O47" s="173"/>
      <c r="P47" s="141">
        <f>L47*N47*P54</f>
        <v>2614.4</v>
      </c>
      <c r="Q47" s="195"/>
      <c r="R47" s="84"/>
      <c r="S47" s="84"/>
      <c r="V47" s="29" t="s">
        <v>92</v>
      </c>
      <c r="Z47" s="79"/>
      <c r="AA47" s="79"/>
      <c r="AB47" s="141">
        <f>$Z$43*Z47</f>
        <v>0</v>
      </c>
      <c r="AC47" s="195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</row>
    <row r="48" spans="3:49" ht="15" customHeight="1" x14ac:dyDescent="0.25">
      <c r="D48" s="34" t="s">
        <v>146</v>
      </c>
      <c r="E48" s="164">
        <v>6</v>
      </c>
      <c r="H48" s="29" t="s">
        <v>165</v>
      </c>
      <c r="L48" s="166">
        <v>0</v>
      </c>
      <c r="M48" s="166"/>
      <c r="N48" s="173">
        <v>19</v>
      </c>
      <c r="O48" s="173"/>
      <c r="P48" s="141">
        <f>L48*N48*P54</f>
        <v>0</v>
      </c>
      <c r="Q48" s="195"/>
      <c r="R48" s="84"/>
      <c r="S48" s="84"/>
      <c r="V48" s="29" t="s">
        <v>93</v>
      </c>
      <c r="Z48" s="79"/>
      <c r="AA48" s="79"/>
      <c r="AB48" s="141">
        <f>$Z$43*Z48</f>
        <v>0</v>
      </c>
      <c r="AC48" s="195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</row>
    <row r="49" spans="1:49" ht="15" customHeight="1" thickBot="1" x14ac:dyDescent="0.3">
      <c r="D49" s="34" t="s">
        <v>147</v>
      </c>
      <c r="E49" s="165">
        <v>6</v>
      </c>
      <c r="H49" s="29" t="s">
        <v>85</v>
      </c>
      <c r="J49" s="58"/>
      <c r="K49" s="58"/>
      <c r="L49" s="58"/>
      <c r="M49" s="58"/>
      <c r="N49" s="84"/>
      <c r="O49" s="84"/>
      <c r="P49" s="51">
        <f>(SUM(P44:P48))</f>
        <v>8737.6</v>
      </c>
      <c r="Q49" s="51"/>
      <c r="R49" s="84"/>
      <c r="S49" s="84"/>
      <c r="V49" s="33" t="s">
        <v>94</v>
      </c>
      <c r="W49" s="33"/>
      <c r="X49" s="80"/>
      <c r="Y49" s="80"/>
      <c r="Z49" s="84"/>
      <c r="AA49" s="84"/>
      <c r="AB49" s="85">
        <f>SUM(AB44:AB48)</f>
        <v>57944.4</v>
      </c>
      <c r="AC49" s="199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</row>
    <row r="50" spans="1:49" ht="15" customHeight="1" thickTop="1" x14ac:dyDescent="0.25">
      <c r="D50" s="34"/>
      <c r="E50" s="29"/>
      <c r="H50" s="29" t="s">
        <v>52</v>
      </c>
      <c r="J50" s="58"/>
      <c r="K50" s="58"/>
      <c r="L50" s="58"/>
      <c r="M50" s="58"/>
      <c r="N50" s="112">
        <v>0.115</v>
      </c>
      <c r="O50" s="193"/>
      <c r="P50" s="51">
        <f>P49*$N$50</f>
        <v>1004.8240000000001</v>
      </c>
      <c r="Q50" s="51"/>
      <c r="R50" s="84"/>
      <c r="S50" s="84"/>
      <c r="V50" s="83"/>
      <c r="W50" s="83"/>
      <c r="Z50" s="83"/>
      <c r="AA50" s="83"/>
      <c r="AB50" s="83"/>
      <c r="AC50" s="83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</row>
    <row r="51" spans="1:49" ht="15" customHeight="1" thickBot="1" x14ac:dyDescent="0.3">
      <c r="D51" s="138" t="s">
        <v>148</v>
      </c>
      <c r="E51" s="140">
        <f>SUM(E43:E50)</f>
        <v>52</v>
      </c>
      <c r="H51" s="33" t="s">
        <v>86</v>
      </c>
      <c r="I51" s="33"/>
      <c r="N51" s="84"/>
      <c r="O51" s="84"/>
      <c r="P51" s="81">
        <f>P49+P50</f>
        <v>9742.4240000000009</v>
      </c>
      <c r="Q51" s="196"/>
      <c r="R51" s="84"/>
      <c r="S51" s="84"/>
      <c r="V51" s="29" t="s">
        <v>135</v>
      </c>
      <c r="Z51" s="86">
        <v>0</v>
      </c>
      <c r="AA51" s="86"/>
      <c r="AB51" s="83"/>
      <c r="AC51" s="83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</row>
    <row r="52" spans="1:49" s="58" customFormat="1" ht="15" customHeight="1" thickTop="1" x14ac:dyDescent="0.25">
      <c r="A52" s="58" t="s">
        <v>52</v>
      </c>
      <c r="D52" s="29"/>
      <c r="N52" s="84"/>
      <c r="O52" s="84"/>
      <c r="R52" s="84"/>
      <c r="S52" s="84"/>
      <c r="T52" s="29"/>
      <c r="U52" s="29"/>
      <c r="V52" s="29" t="s">
        <v>136</v>
      </c>
      <c r="W52" s="29"/>
      <c r="Z52" s="87">
        <v>0</v>
      </c>
      <c r="AA52" s="87"/>
      <c r="AB52" s="83"/>
      <c r="AC52" s="83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</row>
    <row r="53" spans="1:49" s="58" customFormat="1" ht="15" customHeight="1" thickBot="1" x14ac:dyDescent="0.3">
      <c r="D53" s="138" t="s">
        <v>153</v>
      </c>
      <c r="E53" s="58">
        <f>SUM(L44:L48)</f>
        <v>96</v>
      </c>
      <c r="H53" s="29" t="s">
        <v>56</v>
      </c>
      <c r="I53" s="29"/>
      <c r="J53" s="29"/>
      <c r="K53" s="29"/>
      <c r="L53" s="29"/>
      <c r="M53" s="29"/>
      <c r="N53" s="84"/>
      <c r="O53" s="84"/>
      <c r="P53" s="82">
        <f>P51/P54</f>
        <v>2265.6800000000003</v>
      </c>
      <c r="Q53" s="82"/>
      <c r="R53" s="84"/>
      <c r="S53" s="84"/>
      <c r="T53" s="84"/>
      <c r="U53" s="84"/>
      <c r="V53" s="33" t="s">
        <v>155</v>
      </c>
      <c r="W53" s="33"/>
      <c r="X53" s="84"/>
      <c r="Y53" s="84"/>
      <c r="Z53" s="84"/>
      <c r="AA53" s="84"/>
      <c r="AB53" s="85"/>
      <c r="AC53" s="199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</row>
    <row r="54" spans="1:49" ht="15" customHeight="1" thickTop="1" x14ac:dyDescent="0.25">
      <c r="D54" s="138" t="s">
        <v>154</v>
      </c>
      <c r="E54" s="142">
        <f>E53/E51</f>
        <v>1.8461538461538463</v>
      </c>
      <c r="H54" s="31" t="s">
        <v>152</v>
      </c>
      <c r="I54" s="31"/>
      <c r="L54" s="32"/>
      <c r="M54" s="32"/>
      <c r="N54" s="84"/>
      <c r="O54" s="84"/>
      <c r="P54" s="139">
        <v>4.3</v>
      </c>
      <c r="Q54" s="139"/>
      <c r="R54" s="84"/>
      <c r="S54" s="84"/>
      <c r="T54" s="84"/>
      <c r="U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</row>
    <row r="55" spans="1:49" ht="15" customHeight="1" x14ac:dyDescent="0.25"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</row>
    <row r="56" spans="1:49" ht="14.25" customHeight="1" thickBot="1" x14ac:dyDescent="0.3">
      <c r="R56" s="84"/>
      <c r="S56" s="84"/>
      <c r="T56" s="84"/>
      <c r="U56" s="84"/>
      <c r="V56" s="84" t="s">
        <v>156</v>
      </c>
      <c r="W56" s="84"/>
      <c r="X56" s="84"/>
      <c r="Y56" s="84"/>
      <c r="Z56" s="84"/>
      <c r="AA56" s="84"/>
      <c r="AB56" s="85"/>
      <c r="AC56" s="199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</row>
    <row r="57" spans="1:49" ht="16.5" thickTop="1" x14ac:dyDescent="0.25"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</row>
    <row r="58" spans="1:49" x14ac:dyDescent="0.25"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</row>
    <row r="59" spans="1:49" x14ac:dyDescent="0.25">
      <c r="H59" s="84"/>
      <c r="I59" s="84"/>
      <c r="L59" s="84"/>
      <c r="M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</row>
    <row r="60" spans="1:49" x14ac:dyDescent="0.25">
      <c r="C60" s="29"/>
      <c r="E60" s="29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</row>
    <row r="61" spans="1:49" x14ac:dyDescent="0.25">
      <c r="C61" s="29"/>
      <c r="E61" s="29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</row>
    <row r="62" spans="1:49" x14ac:dyDescent="0.25">
      <c r="C62" s="29"/>
      <c r="E62" s="29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</row>
    <row r="63" spans="1:49" x14ac:dyDescent="0.25">
      <c r="C63" s="29"/>
      <c r="E63" s="29"/>
      <c r="H63" s="113"/>
      <c r="I63" s="113"/>
      <c r="J63" s="113"/>
      <c r="K63" s="113"/>
      <c r="L63" s="113"/>
      <c r="M63" s="113"/>
      <c r="N63" s="113"/>
      <c r="O63" s="113"/>
      <c r="R63" s="113"/>
      <c r="S63" s="113"/>
      <c r="T63" s="113"/>
      <c r="U63" s="113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</row>
    <row r="64" spans="1:49" x14ac:dyDescent="0.25">
      <c r="C64" s="29"/>
      <c r="E64" s="29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</row>
    <row r="65" spans="3:49" x14ac:dyDescent="0.25">
      <c r="C65" s="29"/>
      <c r="E65" s="29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</row>
    <row r="66" spans="3:49" x14ac:dyDescent="0.25">
      <c r="C66" s="29"/>
      <c r="E66" s="29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  <c r="AV66" s="84"/>
      <c r="AW66" s="84"/>
    </row>
    <row r="67" spans="3:49" x14ac:dyDescent="0.25">
      <c r="C67" s="29"/>
      <c r="E67" s="29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</row>
    <row r="68" spans="3:49" x14ac:dyDescent="0.25">
      <c r="C68" s="29"/>
      <c r="E68" s="29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</row>
    <row r="69" spans="3:49" x14ac:dyDescent="0.25">
      <c r="C69" s="29"/>
      <c r="E69" s="29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</row>
    <row r="70" spans="3:49" x14ac:dyDescent="0.25">
      <c r="C70" s="29"/>
      <c r="E70" s="29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</row>
    <row r="71" spans="3:49" x14ac:dyDescent="0.25"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</row>
    <row r="72" spans="3:49" x14ac:dyDescent="0.25"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</row>
    <row r="73" spans="3:49" x14ac:dyDescent="0.25"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</row>
    <row r="74" spans="3:49" x14ac:dyDescent="0.25"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</row>
  </sheetData>
  <sheetProtection autoFilter="0"/>
  <mergeCells count="2">
    <mergeCell ref="C6:D7"/>
    <mergeCell ref="C42:E42"/>
  </mergeCells>
  <phoneticPr fontId="14" type="noConversion"/>
  <pageMargins left="0.75" right="0.75" top="0.5" bottom="0.6" header="0.5" footer="0.5"/>
  <pageSetup scale="60" fitToHeight="0" orientation="landscape" r:id="rId1"/>
  <headerFooter alignWithMargins="0">
    <oddFooter>&amp;R&amp;D &amp;T</oddFooter>
  </headerFooter>
  <rowBreaks count="1" manualBreakCount="1">
    <brk id="40" max="16383" man="1"/>
  </rowBreaks>
  <colBreaks count="1" manualBreakCount="1">
    <brk id="2" max="100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606A3-C431-4BAF-8CAD-F90A9ECBD4F7}">
  <dimension ref="A1:Q45"/>
  <sheetViews>
    <sheetView showGridLines="0" topLeftCell="B1" zoomScale="80" zoomScaleNormal="80" workbookViewId="0">
      <pane ySplit="1" topLeftCell="A2" activePane="bottomLeft" state="frozen"/>
      <selection activeCell="N5" sqref="N5"/>
      <selection pane="bottomLeft" activeCell="E8" sqref="E8"/>
    </sheetView>
  </sheetViews>
  <sheetFormatPr defaultColWidth="9.140625" defaultRowHeight="15.75" x14ac:dyDescent="0.25"/>
  <cols>
    <col min="1" max="1" width="8.42578125" style="29" hidden="1" customWidth="1"/>
    <col min="2" max="2" width="1.85546875" style="29" customWidth="1"/>
    <col min="3" max="3" width="2.85546875" style="31" customWidth="1"/>
    <col min="4" max="4" width="29.42578125" style="29" customWidth="1"/>
    <col min="5" max="5" width="11.5703125" style="32" customWidth="1"/>
    <col min="6" max="10" width="13.28515625" style="29" customWidth="1"/>
    <col min="11" max="11" width="4.5703125" style="29" customWidth="1"/>
    <col min="12" max="16" width="9.140625" style="29"/>
    <col min="17" max="17" width="13.5703125" style="29" customWidth="1"/>
    <col min="18" max="16384" width="9.140625" style="29"/>
  </cols>
  <sheetData>
    <row r="1" spans="1:17" s="33" customFormat="1" ht="18" customHeight="1" x14ac:dyDescent="0.25">
      <c r="C1" s="54"/>
      <c r="E1" s="52"/>
      <c r="F1" s="53"/>
      <c r="G1" s="53"/>
      <c r="H1" s="53"/>
      <c r="I1" s="53"/>
      <c r="J1" s="53"/>
    </row>
    <row r="2" spans="1:17" s="33" customFormat="1" ht="18" customHeight="1" x14ac:dyDescent="0.25">
      <c r="C2" s="174" t="s">
        <v>68</v>
      </c>
      <c r="D2" s="175"/>
      <c r="E2" s="55"/>
      <c r="F2" s="56"/>
      <c r="G2" s="56"/>
      <c r="H2" s="56"/>
      <c r="I2" s="56"/>
      <c r="J2" s="56"/>
    </row>
    <row r="3" spans="1:17" s="33" customFormat="1" ht="18" customHeight="1" x14ac:dyDescent="0.25">
      <c r="C3" s="174"/>
      <c r="D3" s="175"/>
      <c r="E3" s="30"/>
      <c r="F3" s="57" t="s">
        <v>69</v>
      </c>
      <c r="G3" s="57" t="s">
        <v>70</v>
      </c>
      <c r="H3" s="57" t="s">
        <v>71</v>
      </c>
      <c r="I3" s="57" t="s">
        <v>72</v>
      </c>
      <c r="J3" s="57" t="s">
        <v>73</v>
      </c>
    </row>
    <row r="4" spans="1:17" ht="15" customHeight="1" thickBot="1" x14ac:dyDescent="0.3"/>
    <row r="5" spans="1:17" s="61" customFormat="1" ht="15" customHeight="1" thickBot="1" x14ac:dyDescent="0.3">
      <c r="C5" s="54" t="s">
        <v>17</v>
      </c>
      <c r="E5" s="62" t="s">
        <v>67</v>
      </c>
      <c r="F5" s="106">
        <f>SUM('24M Income Statement'!F9:AB9)</f>
        <v>976261.66</v>
      </c>
      <c r="G5" s="106">
        <f>SUM('24M Income Statement'!AD9:AW9)</f>
        <v>850000</v>
      </c>
      <c r="H5" s="106">
        <f>G5*1.05</f>
        <v>892500</v>
      </c>
      <c r="I5" s="106">
        <f>H5*1.05</f>
        <v>937125</v>
      </c>
      <c r="J5" s="106">
        <f>I5*1.05</f>
        <v>983981.25</v>
      </c>
      <c r="N5" s="63"/>
    </row>
    <row r="6" spans="1:17" ht="15" customHeight="1" x14ac:dyDescent="0.25">
      <c r="E6" s="59"/>
      <c r="N6" s="64"/>
    </row>
    <row r="7" spans="1:17" ht="15" customHeight="1" x14ac:dyDescent="0.25">
      <c r="E7" s="59"/>
      <c r="F7" s="51"/>
      <c r="G7" s="51"/>
      <c r="N7" s="64"/>
    </row>
    <row r="8" spans="1:17" s="61" customFormat="1" ht="15" customHeight="1" x14ac:dyDescent="0.25">
      <c r="D8" s="58" t="str">
        <f>'24M Income Statement'!D13</f>
        <v>COGS</v>
      </c>
      <c r="E8" s="72">
        <f>'24M Income Statement'!E13</f>
        <v>0</v>
      </c>
      <c r="F8" s="51">
        <f>SUM('24M Income Statement'!F13:AB13)</f>
        <v>392335.82540600002</v>
      </c>
      <c r="G8" s="51">
        <f>SUM('24M Income Statement'!AD13:AW13)</f>
        <v>340000</v>
      </c>
      <c r="H8" s="51">
        <f>($G$8/$G$5)*H5</f>
        <v>357000</v>
      </c>
      <c r="I8" s="51">
        <f t="shared" ref="I8:J8" si="0">($G$8/$G$5)*I5</f>
        <v>374850</v>
      </c>
      <c r="J8" s="51">
        <f t="shared" si="0"/>
        <v>393592.5</v>
      </c>
      <c r="N8" s="65"/>
    </row>
    <row r="9" spans="1:17" s="61" customFormat="1" ht="15" customHeight="1" x14ac:dyDescent="0.25">
      <c r="D9" s="58" t="str">
        <f>'24M Income Statement'!D14</f>
        <v>Shipping Costs</v>
      </c>
      <c r="E9" s="72"/>
      <c r="F9" s="51">
        <f>SUM('24M Income Statement'!F14:AB14)</f>
        <v>41233.651369863015</v>
      </c>
      <c r="G9" s="51">
        <f>SUM('24M Income Statement'!AD14:AW14)</f>
        <v>37260.273972602743</v>
      </c>
      <c r="H9" s="51">
        <f>($G$9/$G$5)*H5</f>
        <v>39123.28767123288</v>
      </c>
      <c r="I9" s="51">
        <f t="shared" ref="I9:J9" si="1">($G$9/$G$5)*I5</f>
        <v>41079.452054794529</v>
      </c>
      <c r="J9" s="51">
        <f t="shared" si="1"/>
        <v>43133.424657534255</v>
      </c>
      <c r="N9" s="65"/>
    </row>
    <row r="10" spans="1:17" s="61" customFormat="1" ht="15" customHeight="1" x14ac:dyDescent="0.25">
      <c r="D10" s="58" t="str">
        <f>'24M Income Statement'!D15</f>
        <v>eBay Selling Costs</v>
      </c>
      <c r="E10" s="72"/>
      <c r="F10" s="51">
        <f>SUM('24M Income Statement'!F15:AB15)</f>
        <v>70055.709999999992</v>
      </c>
      <c r="G10" s="51">
        <f>SUM('24M Income Statement'!AD15:AW15)</f>
        <v>61880</v>
      </c>
      <c r="H10" s="51">
        <f>($G$10/$G$5)*H5</f>
        <v>64974</v>
      </c>
      <c r="I10" s="51">
        <f t="shared" ref="I10:J10" si="2">($G$10/$G$5)*I5</f>
        <v>68222.7</v>
      </c>
      <c r="J10" s="51">
        <f t="shared" si="2"/>
        <v>71633.835000000006</v>
      </c>
      <c r="N10" s="65"/>
    </row>
    <row r="11" spans="1:17" s="61" customFormat="1" ht="15" customHeight="1" thickBot="1" x14ac:dyDescent="0.3">
      <c r="A11" s="33"/>
      <c r="B11" s="33"/>
      <c r="D11" s="58" t="str">
        <f>'24M Income Statement'!D16</f>
        <v xml:space="preserve">Payroll Costs </v>
      </c>
      <c r="E11" s="66" t="s">
        <v>67</v>
      </c>
      <c r="F11" s="51">
        <f>SUM('24M Income Statement'!F16:AB16)</f>
        <v>136393.93600000002</v>
      </c>
      <c r="G11" s="51">
        <f>SUM('24M Income Statement'!AD16:AW16)</f>
        <v>100054.69448000003</v>
      </c>
      <c r="H11" s="51">
        <f>G11*1.05</f>
        <v>105057.42920400004</v>
      </c>
      <c r="I11" s="51">
        <f t="shared" ref="I11:J11" si="3">H11*1.05</f>
        <v>110310.30066420005</v>
      </c>
      <c r="J11" s="51">
        <f t="shared" si="3"/>
        <v>115825.81569741006</v>
      </c>
      <c r="M11" s="51"/>
      <c r="N11" s="51"/>
      <c r="O11" s="51"/>
      <c r="P11" s="51"/>
      <c r="Q11" s="51"/>
    </row>
    <row r="12" spans="1:17" s="61" customFormat="1" ht="15" customHeight="1" x14ac:dyDescent="0.25">
      <c r="C12" s="54" t="s">
        <v>77</v>
      </c>
      <c r="E12" s="62"/>
      <c r="F12" s="67">
        <f>F5-F8-F9-F10-F11</f>
        <v>336242.53722413699</v>
      </c>
      <c r="G12" s="67">
        <f t="shared" ref="G12:J12" si="4">IF(G5=0,"",G5-G8-G9-G10-G11)</f>
        <v>310805.03154739726</v>
      </c>
      <c r="H12" s="67">
        <f t="shared" si="4"/>
        <v>326345.28312476707</v>
      </c>
      <c r="I12" s="67">
        <f t="shared" si="4"/>
        <v>342662.54728100542</v>
      </c>
      <c r="J12" s="67">
        <f t="shared" si="4"/>
        <v>359795.67464505567</v>
      </c>
      <c r="M12" s="51"/>
      <c r="N12" s="51"/>
      <c r="O12" s="51"/>
      <c r="P12" s="51"/>
      <c r="Q12" s="51"/>
    </row>
    <row r="13" spans="1:17" ht="15" customHeight="1" x14ac:dyDescent="0.25">
      <c r="E13" s="59"/>
      <c r="N13" s="60"/>
    </row>
    <row r="14" spans="1:17" s="33" customFormat="1" ht="15" customHeight="1" x14ac:dyDescent="0.25">
      <c r="C14" s="54" t="s">
        <v>78</v>
      </c>
      <c r="E14" s="68"/>
      <c r="F14" s="69"/>
      <c r="G14" s="69"/>
      <c r="H14" s="69"/>
      <c r="I14" s="69"/>
      <c r="J14" s="69"/>
      <c r="N14" s="70"/>
    </row>
    <row r="15" spans="1:17" s="58" customFormat="1" ht="15" customHeight="1" x14ac:dyDescent="0.25">
      <c r="A15" s="58" t="s">
        <v>79</v>
      </c>
      <c r="C15" s="31"/>
      <c r="D15" s="58" t="str">
        <f>'24M Income Statement'!D20</f>
        <v>Royalties (6%)</v>
      </c>
      <c r="E15" s="72">
        <f>'24M Income Statement'!E20</f>
        <v>0.06</v>
      </c>
      <c r="F15" s="58">
        <f>F$5*E$15</f>
        <v>58575.6996</v>
      </c>
      <c r="G15" s="58">
        <f>$G$5*E15</f>
        <v>51000</v>
      </c>
      <c r="H15" s="58">
        <f t="shared" ref="H15:I17" si="5">H$5*$E15</f>
        <v>53550</v>
      </c>
      <c r="I15" s="58">
        <f t="shared" si="5"/>
        <v>56227.5</v>
      </c>
      <c r="J15" s="58">
        <f>J$5*E15</f>
        <v>59038.875</v>
      </c>
      <c r="N15" s="71"/>
    </row>
    <row r="16" spans="1:17" s="58" customFormat="1" ht="15" customHeight="1" x14ac:dyDescent="0.25">
      <c r="C16" s="31"/>
      <c r="D16" s="58" t="str">
        <f>'24M Income Statement'!D21</f>
        <v>Marketing Fund (1%)</v>
      </c>
      <c r="E16" s="72">
        <f>'24M Income Statement'!E21</f>
        <v>0.01</v>
      </c>
      <c r="F16" s="58">
        <f>F$5*E$16</f>
        <v>9762.6166000000012</v>
      </c>
      <c r="G16" s="58">
        <f>G$5*E$16</f>
        <v>8500</v>
      </c>
      <c r="H16" s="58">
        <f>H$5*E$16</f>
        <v>8925</v>
      </c>
      <c r="I16" s="58">
        <f>I$5*E$16</f>
        <v>9371.25</v>
      </c>
      <c r="J16" s="58">
        <f>J$5*E$16</f>
        <v>9839.8125</v>
      </c>
      <c r="N16" s="71"/>
    </row>
    <row r="17" spans="1:17" s="58" customFormat="1" ht="15" customHeight="1" x14ac:dyDescent="0.25">
      <c r="A17" s="58" t="s">
        <v>80</v>
      </c>
      <c r="C17" s="31"/>
      <c r="D17" s="58" t="str">
        <f>'24M Income Statement'!D22</f>
        <v>Technology Fee (2%)</v>
      </c>
      <c r="E17" s="73">
        <f>'24M Income Statement'!E22</f>
        <v>0.02</v>
      </c>
      <c r="F17" s="58">
        <f>F$5*E$17</f>
        <v>19525.233200000002</v>
      </c>
      <c r="G17" s="58">
        <f>$G$5*E17</f>
        <v>17000</v>
      </c>
      <c r="H17" s="58">
        <f>H$5*$E17</f>
        <v>17850</v>
      </c>
      <c r="I17" s="58">
        <f t="shared" si="5"/>
        <v>18742.5</v>
      </c>
      <c r="J17" s="58">
        <f>J$5*E17</f>
        <v>19679.625</v>
      </c>
      <c r="N17" s="71"/>
    </row>
    <row r="18" spans="1:17" s="58" customFormat="1" ht="15" customHeight="1" x14ac:dyDescent="0.25">
      <c r="C18" s="31"/>
      <c r="D18" s="58" t="str">
        <f>'24M Income Statement'!D23</f>
        <v>Google Ad Words</v>
      </c>
      <c r="E18" s="78">
        <f>'24M Income Statement'!E23</f>
        <v>0</v>
      </c>
      <c r="F18" s="58">
        <f>E18</f>
        <v>0</v>
      </c>
      <c r="G18" s="58">
        <f>E18</f>
        <v>0</v>
      </c>
      <c r="H18" s="58">
        <f>G18*1.05</f>
        <v>0</v>
      </c>
      <c r="I18" s="58">
        <f t="shared" ref="I18:J19" si="6">H18*1.05</f>
        <v>0</v>
      </c>
      <c r="J18" s="58">
        <f t="shared" si="6"/>
        <v>0</v>
      </c>
      <c r="N18" s="71"/>
      <c r="Q18" s="74"/>
    </row>
    <row r="19" spans="1:17" s="58" customFormat="1" ht="15" customHeight="1" x14ac:dyDescent="0.25">
      <c r="C19" s="31"/>
      <c r="D19" s="58" t="str">
        <f>'24M Income Statement'!D24</f>
        <v>Professional Fees</v>
      </c>
      <c r="E19" s="78">
        <f>'24M Income Statement'!E24</f>
        <v>800</v>
      </c>
      <c r="F19" s="58">
        <f>E19</f>
        <v>800</v>
      </c>
      <c r="G19" s="58">
        <f>E19</f>
        <v>800</v>
      </c>
      <c r="H19" s="58">
        <f>G19*1.05</f>
        <v>840</v>
      </c>
      <c r="I19" s="58">
        <f t="shared" si="6"/>
        <v>882</v>
      </c>
      <c r="J19" s="58">
        <f t="shared" si="6"/>
        <v>926.1</v>
      </c>
      <c r="N19" s="71"/>
    </row>
    <row r="20" spans="1:17" s="58" customFormat="1" ht="15" customHeight="1" x14ac:dyDescent="0.25">
      <c r="C20" s="31"/>
      <c r="D20" s="58" t="str">
        <f>'24M Income Statement'!D25</f>
        <v>Office &amp; General</v>
      </c>
      <c r="E20" s="78">
        <f>'24M Income Statement'!E25</f>
        <v>1350</v>
      </c>
      <c r="F20" s="58">
        <f>SUM('24M Income Statement'!F23:AB23)</f>
        <v>60268</v>
      </c>
      <c r="G20" s="58">
        <f>SUM('24M Income Statement'!AD23:AW23)</f>
        <v>30000</v>
      </c>
      <c r="H20" s="58">
        <f>G20*1.1</f>
        <v>33000</v>
      </c>
      <c r="I20" s="58">
        <f t="shared" ref="I20:J20" si="7">H20*1.1</f>
        <v>36300</v>
      </c>
      <c r="J20" s="58">
        <f t="shared" si="7"/>
        <v>39930</v>
      </c>
    </row>
    <row r="21" spans="1:17" s="58" customFormat="1" ht="15" customHeight="1" x14ac:dyDescent="0.25">
      <c r="A21" s="58" t="s">
        <v>81</v>
      </c>
      <c r="C21" s="31"/>
      <c r="D21" s="58" t="str">
        <f>'24M Income Statement'!D26</f>
        <v xml:space="preserve">Selling Platforms </v>
      </c>
      <c r="E21" s="78">
        <f>'24M Income Statement'!E26</f>
        <v>2304</v>
      </c>
      <c r="F21" s="58">
        <f t="shared" ref="F21:F22" si="8">E21</f>
        <v>2304</v>
      </c>
      <c r="G21" s="58">
        <f t="shared" ref="G21:G22" si="9">E21</f>
        <v>2304</v>
      </c>
      <c r="H21" s="58">
        <f t="shared" ref="H21:J26" si="10">G21*1.03</f>
        <v>2373.12</v>
      </c>
      <c r="I21" s="58">
        <f t="shared" si="10"/>
        <v>2444.3136</v>
      </c>
      <c r="J21" s="58">
        <f t="shared" si="10"/>
        <v>2517.643008</v>
      </c>
    </row>
    <row r="22" spans="1:17" s="58" customFormat="1" ht="15" customHeight="1" x14ac:dyDescent="0.25">
      <c r="A22" s="58" t="s">
        <v>49</v>
      </c>
      <c r="C22" s="31"/>
      <c r="D22" s="58" t="e">
        <f>'24M Income Statement'!#REF!</f>
        <v>#REF!</v>
      </c>
      <c r="E22" s="78" t="e">
        <f>'24M Income Statement'!#REF!</f>
        <v>#REF!</v>
      </c>
      <c r="F22" s="58" t="e">
        <f t="shared" si="8"/>
        <v>#REF!</v>
      </c>
      <c r="G22" s="58" t="e">
        <f t="shared" si="9"/>
        <v>#REF!</v>
      </c>
      <c r="H22" s="58" t="e">
        <f t="shared" si="10"/>
        <v>#REF!</v>
      </c>
      <c r="I22" s="58" t="e">
        <f t="shared" si="10"/>
        <v>#REF!</v>
      </c>
      <c r="J22" s="58" t="e">
        <f t="shared" si="10"/>
        <v>#REF!</v>
      </c>
    </row>
    <row r="23" spans="1:17" s="58" customFormat="1" ht="15" customHeight="1" x14ac:dyDescent="0.25">
      <c r="A23" s="58" t="s">
        <v>82</v>
      </c>
      <c r="C23" s="31"/>
      <c r="D23" s="58" t="str">
        <f>'24M Income Statement'!D27</f>
        <v>Insurance</v>
      </c>
      <c r="E23" s="78">
        <f>'24M Income Statement'!E27</f>
        <v>2600</v>
      </c>
      <c r="F23" s="58">
        <f>E23</f>
        <v>2600</v>
      </c>
      <c r="G23" s="58">
        <f>E23</f>
        <v>2600</v>
      </c>
      <c r="H23" s="58">
        <f t="shared" si="10"/>
        <v>2678</v>
      </c>
      <c r="I23" s="58">
        <f t="shared" si="10"/>
        <v>2758.34</v>
      </c>
      <c r="J23" s="58">
        <f t="shared" si="10"/>
        <v>2841.0902000000001</v>
      </c>
    </row>
    <row r="24" spans="1:17" s="58" customFormat="1" ht="15" customHeight="1" x14ac:dyDescent="0.25">
      <c r="A24" s="58" t="s">
        <v>16</v>
      </c>
      <c r="C24" s="31"/>
      <c r="D24" s="58" t="str">
        <f>'24M Income Statement'!D28</f>
        <v>License &amp; Taxes</v>
      </c>
      <c r="E24" s="78">
        <f>'24M Income Statement'!E28</f>
        <v>250</v>
      </c>
      <c r="F24" s="58">
        <f>E24</f>
        <v>250</v>
      </c>
      <c r="G24" s="58">
        <f>E24</f>
        <v>250</v>
      </c>
      <c r="H24" s="58">
        <f t="shared" si="10"/>
        <v>257.5</v>
      </c>
      <c r="I24" s="58">
        <f t="shared" si="10"/>
        <v>265.22500000000002</v>
      </c>
      <c r="J24" s="58">
        <f t="shared" si="10"/>
        <v>273.18175000000002</v>
      </c>
    </row>
    <row r="25" spans="1:17" s="58" customFormat="1" ht="15" customHeight="1" x14ac:dyDescent="0.25">
      <c r="A25" s="58" t="s">
        <v>50</v>
      </c>
      <c r="C25" s="31"/>
      <c r="D25" s="58" t="str">
        <f>'24M Income Statement'!D29</f>
        <v>Telephone &amp; Internet &amp; Cameras</v>
      </c>
      <c r="E25" s="78">
        <f>'24M Income Statement'!E29</f>
        <v>3360</v>
      </c>
      <c r="F25" s="58">
        <f>E25</f>
        <v>3360</v>
      </c>
      <c r="G25" s="58">
        <f>E25</f>
        <v>3360</v>
      </c>
      <c r="H25" s="58">
        <f t="shared" si="10"/>
        <v>3460.8</v>
      </c>
      <c r="I25" s="58">
        <f t="shared" si="10"/>
        <v>3564.6240000000003</v>
      </c>
      <c r="J25" s="58">
        <f t="shared" si="10"/>
        <v>3671.5627200000004</v>
      </c>
    </row>
    <row r="26" spans="1:17" s="58" customFormat="1" ht="15" customHeight="1" x14ac:dyDescent="0.25">
      <c r="A26" s="58" t="s">
        <v>83</v>
      </c>
      <c r="C26" s="31"/>
      <c r="D26" s="58" t="str">
        <f>'24M Income Statement'!D30</f>
        <v>Security</v>
      </c>
      <c r="E26" s="78">
        <f>'24M Income Statement'!E30</f>
        <v>1902</v>
      </c>
      <c r="F26" s="58">
        <f>E26</f>
        <v>1902</v>
      </c>
      <c r="G26" s="58">
        <f>E26</f>
        <v>1902</v>
      </c>
      <c r="H26" s="58">
        <f t="shared" si="10"/>
        <v>1959.06</v>
      </c>
      <c r="I26" s="58">
        <f t="shared" si="10"/>
        <v>2017.8317999999999</v>
      </c>
      <c r="J26" s="58">
        <f t="shared" si="10"/>
        <v>2078.3667540000001</v>
      </c>
    </row>
    <row r="27" spans="1:17" s="61" customFormat="1" ht="15" customHeight="1" thickBot="1" x14ac:dyDescent="0.3">
      <c r="C27" s="54"/>
      <c r="E27" s="68"/>
      <c r="F27" s="76" t="e">
        <f>SUM(F15:F26)</f>
        <v>#REF!</v>
      </c>
      <c r="G27" s="76" t="e">
        <f>SUM(G15:G26)</f>
        <v>#REF!</v>
      </c>
      <c r="H27" s="76" t="e">
        <f>SUM(H15:H26)</f>
        <v>#REF!</v>
      </c>
      <c r="I27" s="76" t="e">
        <f>SUM(I15:I26)</f>
        <v>#REF!</v>
      </c>
      <c r="J27" s="76" t="e">
        <f>SUM(J15:J26)</f>
        <v>#REF!</v>
      </c>
    </row>
    <row r="28" spans="1:17" s="75" customFormat="1" ht="15" customHeight="1" thickTop="1" x14ac:dyDescent="0.25">
      <c r="C28" s="33" t="s">
        <v>84</v>
      </c>
      <c r="E28" s="72"/>
    </row>
    <row r="29" spans="1:17" s="75" customFormat="1" ht="15" customHeight="1" x14ac:dyDescent="0.25">
      <c r="C29" s="31"/>
      <c r="D29" s="58" t="s">
        <v>53</v>
      </c>
      <c r="E29" s="72"/>
      <c r="F29" s="58">
        <f>'24M Income Statement'!AB49</f>
        <v>57944.4</v>
      </c>
      <c r="G29" s="58">
        <f>F29</f>
        <v>57944.4</v>
      </c>
      <c r="H29" s="58">
        <f t="shared" ref="H29:J29" si="11">G29</f>
        <v>57944.4</v>
      </c>
      <c r="I29" s="58">
        <f t="shared" si="11"/>
        <v>57944.4</v>
      </c>
      <c r="J29" s="58">
        <f t="shared" si="11"/>
        <v>57944.4</v>
      </c>
    </row>
    <row r="30" spans="1:17" s="75" customFormat="1" ht="15" customHeight="1" x14ac:dyDescent="0.25">
      <c r="C30" s="31"/>
      <c r="D30" s="58" t="s">
        <v>54</v>
      </c>
      <c r="E30" s="78">
        <f>'24M Income Statement'!E34</f>
        <v>3400</v>
      </c>
      <c r="F30" s="58">
        <f>$E$30</f>
        <v>3400</v>
      </c>
      <c r="G30" s="58">
        <f>F30*1.05</f>
        <v>3570</v>
      </c>
      <c r="H30" s="58">
        <f t="shared" ref="H30:J30" si="12">G30*1.05</f>
        <v>3748.5</v>
      </c>
      <c r="I30" s="58">
        <f t="shared" si="12"/>
        <v>3935.9250000000002</v>
      </c>
      <c r="J30" s="58">
        <f t="shared" si="12"/>
        <v>4132.7212500000005</v>
      </c>
    </row>
    <row r="31" spans="1:17" s="61" customFormat="1" ht="15" customHeight="1" thickBot="1" x14ac:dyDescent="0.3">
      <c r="C31" s="54"/>
      <c r="E31" s="66"/>
      <c r="F31" s="76">
        <f>SUM(F29:F30)</f>
        <v>61344.4</v>
      </c>
      <c r="G31" s="76">
        <f>SUM(G29:G30)</f>
        <v>61514.400000000001</v>
      </c>
      <c r="H31" s="76">
        <f>SUM(H29:H30)</f>
        <v>61692.9</v>
      </c>
      <c r="I31" s="76">
        <f>SUM(I29:I30)</f>
        <v>61880.325000000004</v>
      </c>
      <c r="J31" s="76">
        <f>SUM(J29:J30)</f>
        <v>62077.121250000004</v>
      </c>
    </row>
    <row r="32" spans="1:17" ht="15" customHeight="1" thickTop="1" x14ac:dyDescent="0.25">
      <c r="E32" s="59"/>
    </row>
    <row r="33" spans="3:10" s="58" customFormat="1" ht="15" customHeight="1" thickBot="1" x14ac:dyDescent="0.3">
      <c r="C33" s="54" t="s">
        <v>9</v>
      </c>
      <c r="D33" s="61"/>
      <c r="E33" s="66"/>
      <c r="F33" s="77" t="e">
        <f>F12-F27-F31</f>
        <v>#REF!</v>
      </c>
      <c r="G33" s="77" t="e">
        <f>G12-G27-G31</f>
        <v>#REF!</v>
      </c>
      <c r="H33" s="77" t="e">
        <f>H12-H27-H31</f>
        <v>#REF!</v>
      </c>
      <c r="I33" s="77" t="e">
        <f>I12-I27-I31</f>
        <v>#REF!</v>
      </c>
      <c r="J33" s="77" t="e">
        <f>J12-J27-J31</f>
        <v>#REF!</v>
      </c>
    </row>
    <row r="34" spans="3:10" s="58" customFormat="1" ht="15" customHeight="1" thickTop="1" x14ac:dyDescent="0.25">
      <c r="C34" s="31"/>
      <c r="E34" s="78"/>
    </row>
    <row r="35" spans="3:10" ht="15" customHeight="1" x14ac:dyDescent="0.25">
      <c r="D35" s="58"/>
      <c r="E35" s="29"/>
    </row>
    <row r="36" spans="3:10" ht="15" customHeight="1" x14ac:dyDescent="0.25">
      <c r="C36" s="54" t="s">
        <v>10</v>
      </c>
      <c r="E36" s="29"/>
      <c r="F36" s="93" t="e">
        <f>F33</f>
        <v>#REF!</v>
      </c>
      <c r="G36" s="93" t="e">
        <f t="shared" ref="G36:J36" si="13">G33</f>
        <v>#REF!</v>
      </c>
      <c r="H36" s="93" t="e">
        <f t="shared" si="13"/>
        <v>#REF!</v>
      </c>
      <c r="I36" s="93" t="e">
        <f t="shared" si="13"/>
        <v>#REF!</v>
      </c>
      <c r="J36" s="93" t="e">
        <f t="shared" si="13"/>
        <v>#REF!</v>
      </c>
    </row>
    <row r="37" spans="3:10" ht="15" customHeight="1" x14ac:dyDescent="0.25">
      <c r="C37" s="29"/>
      <c r="D37" s="58" t="s">
        <v>11</v>
      </c>
      <c r="E37" s="29"/>
      <c r="F37" s="90">
        <f>Assumptions!B6*Assumptions!B7</f>
        <v>21394.448100000001</v>
      </c>
      <c r="G37" s="90">
        <f>F37</f>
        <v>21394.448100000001</v>
      </c>
      <c r="H37" s="90">
        <f t="shared" ref="H37:J37" si="14">G37</f>
        <v>21394.448100000001</v>
      </c>
      <c r="I37" s="90">
        <f t="shared" si="14"/>
        <v>21394.448100000001</v>
      </c>
      <c r="J37" s="90">
        <f t="shared" si="14"/>
        <v>21394.448100000001</v>
      </c>
    </row>
    <row r="38" spans="3:10" ht="15" customHeight="1" x14ac:dyDescent="0.25">
      <c r="C38" s="29"/>
      <c r="D38" s="58" t="s">
        <v>5</v>
      </c>
      <c r="E38" s="29"/>
      <c r="F38" s="90" t="e">
        <f>Assumptions!B4*F36</f>
        <v>#REF!</v>
      </c>
      <c r="G38" s="90" t="e">
        <f>Assumptions!C4*G36</f>
        <v>#REF!</v>
      </c>
      <c r="H38" s="90" t="e">
        <f>Assumptions!D4*H36</f>
        <v>#REF!</v>
      </c>
      <c r="I38" s="90" t="e">
        <f>Assumptions!E4*I36</f>
        <v>#REF!</v>
      </c>
      <c r="J38" s="90" t="e">
        <f>Assumptions!F4*J36</f>
        <v>#REF!</v>
      </c>
    </row>
    <row r="39" spans="3:10" ht="15" customHeight="1" x14ac:dyDescent="0.25">
      <c r="C39" s="29"/>
      <c r="D39" s="58" t="s">
        <v>12</v>
      </c>
      <c r="E39" s="29"/>
      <c r="F39" s="90">
        <f>(Startup!B10+Startup!B9+Startup!B11+Startup!B6+Startup!B12)*10%</f>
        <v>17408.2</v>
      </c>
      <c r="G39" s="90">
        <f>F39</f>
        <v>17408.2</v>
      </c>
      <c r="H39" s="90">
        <f t="shared" ref="H39:J39" si="15">G39</f>
        <v>17408.2</v>
      </c>
      <c r="I39" s="90">
        <f t="shared" si="15"/>
        <v>17408.2</v>
      </c>
      <c r="J39" s="90">
        <f t="shared" si="15"/>
        <v>17408.2</v>
      </c>
    </row>
    <row r="40" spans="3:10" ht="15" customHeight="1" x14ac:dyDescent="0.25">
      <c r="C40" s="29"/>
      <c r="D40" s="58"/>
      <c r="E40" s="29"/>
      <c r="F40" s="90"/>
      <c r="G40" s="90"/>
      <c r="H40" s="90"/>
      <c r="I40" s="90"/>
      <c r="J40" s="90"/>
    </row>
    <row r="41" spans="3:10" ht="15" customHeight="1" thickBot="1" x14ac:dyDescent="0.3">
      <c r="C41" s="54" t="s">
        <v>38</v>
      </c>
      <c r="E41" s="29"/>
      <c r="F41" s="91" t="e">
        <f>SUM(F37:F40)</f>
        <v>#REF!</v>
      </c>
      <c r="G41" s="91" t="e">
        <f t="shared" ref="G41:J41" si="16">SUM(G37:G40)</f>
        <v>#REF!</v>
      </c>
      <c r="H41" s="91" t="e">
        <f t="shared" si="16"/>
        <v>#REF!</v>
      </c>
      <c r="I41" s="91" t="e">
        <f t="shared" si="16"/>
        <v>#REF!</v>
      </c>
      <c r="J41" s="91" t="e">
        <f t="shared" si="16"/>
        <v>#REF!</v>
      </c>
    </row>
    <row r="42" spans="3:10" ht="15" customHeight="1" thickTop="1" x14ac:dyDescent="0.25">
      <c r="C42" s="54"/>
      <c r="E42" s="29"/>
      <c r="F42" s="90"/>
      <c r="G42" s="90"/>
      <c r="H42" s="90"/>
      <c r="I42" s="90"/>
      <c r="J42" s="90"/>
    </row>
    <row r="43" spans="3:10" ht="15" customHeight="1" thickBot="1" x14ac:dyDescent="0.3">
      <c r="C43" s="54" t="s">
        <v>13</v>
      </c>
      <c r="E43" s="29"/>
      <c r="F43" s="92" t="e">
        <f>F36-F41</f>
        <v>#REF!</v>
      </c>
      <c r="G43" s="92" t="e">
        <f t="shared" ref="G43:J43" si="17">G36-G41</f>
        <v>#REF!</v>
      </c>
      <c r="H43" s="92" t="e">
        <f t="shared" si="17"/>
        <v>#REF!</v>
      </c>
      <c r="I43" s="92" t="e">
        <f t="shared" si="17"/>
        <v>#REF!</v>
      </c>
      <c r="J43" s="92" t="e">
        <f t="shared" si="17"/>
        <v>#REF!</v>
      </c>
    </row>
    <row r="44" spans="3:10" ht="15" customHeight="1" thickTop="1" x14ac:dyDescent="0.25">
      <c r="C44" s="29"/>
      <c r="E44" s="29"/>
    </row>
    <row r="45" spans="3:10" x14ac:dyDescent="0.25">
      <c r="H45" s="35"/>
      <c r="I45" s="35"/>
      <c r="J45" s="35"/>
    </row>
  </sheetData>
  <sheetProtection autoFilter="0"/>
  <mergeCells count="1">
    <mergeCell ref="C2:D3"/>
  </mergeCells>
  <pageMargins left="0.75" right="0.75" top="0.5" bottom="0.6" header="0.5" footer="0.5"/>
  <pageSetup scale="60" fitToHeight="0" orientation="landscape" r:id="rId1"/>
  <headerFooter alignWithMargins="0">
    <oddFooter>&amp;R&amp;D &amp;T</oddFooter>
  </headerFooter>
  <ignoredErrors>
    <ignoredError sqref="G16:J16 G38:J38" formula="1"/>
    <ignoredError sqref="F20:G20" formula="1" formulaRange="1"/>
    <ignoredError sqref="F5:G5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5B15E-E11D-4F68-B2C4-DCB1F31DD85B}">
  <dimension ref="B1:F39"/>
  <sheetViews>
    <sheetView topLeftCell="A9" zoomScaleNormal="100" workbookViewId="0">
      <selection activeCell="C13" sqref="C13"/>
    </sheetView>
  </sheetViews>
  <sheetFormatPr defaultColWidth="8.7109375" defaultRowHeight="15.75" x14ac:dyDescent="0.25"/>
  <cols>
    <col min="1" max="1" width="3.28515625" style="123" customWidth="1"/>
    <col min="2" max="2" width="33.42578125" style="123" customWidth="1"/>
    <col min="3" max="3" width="13" style="123" customWidth="1"/>
    <col min="4" max="4" width="17.5703125" style="123" bestFit="1" customWidth="1"/>
    <col min="5" max="5" width="15.85546875" style="123" bestFit="1" customWidth="1"/>
    <col min="6" max="16384" width="8.7109375" style="123"/>
  </cols>
  <sheetData>
    <row r="1" spans="2:6" ht="16.5" thickBot="1" x14ac:dyDescent="0.3"/>
    <row r="2" spans="2:6" ht="26.25" customHeight="1" x14ac:dyDescent="0.25">
      <c r="B2" s="190" t="s">
        <v>104</v>
      </c>
      <c r="C2" s="191"/>
    </row>
    <row r="3" spans="2:6" x14ac:dyDescent="0.25">
      <c r="B3" s="188" t="s">
        <v>105</v>
      </c>
      <c r="C3" s="189"/>
    </row>
    <row r="4" spans="2:6" ht="16.5" thickBot="1" x14ac:dyDescent="0.3">
      <c r="B4" s="124" t="s">
        <v>106</v>
      </c>
      <c r="C4" s="125"/>
    </row>
    <row r="5" spans="2:6" ht="16.5" thickBot="1" x14ac:dyDescent="0.3">
      <c r="B5" s="127" t="s">
        <v>107</v>
      </c>
      <c r="C5" s="128">
        <f>Startup!B21+E5</f>
        <v>100000</v>
      </c>
      <c r="E5" s="167">
        <v>50000</v>
      </c>
      <c r="F5" s="123" t="s">
        <v>170</v>
      </c>
    </row>
    <row r="6" spans="2:6" x14ac:dyDescent="0.25">
      <c r="B6" s="127" t="s">
        <v>108</v>
      </c>
      <c r="C6" s="128">
        <v>0</v>
      </c>
    </row>
    <row r="7" spans="2:6" x14ac:dyDescent="0.25">
      <c r="B7" s="127" t="s">
        <v>109</v>
      </c>
      <c r="C7" s="128">
        <f>Startup!B16</f>
        <v>5000</v>
      </c>
    </row>
    <row r="8" spans="2:6" x14ac:dyDescent="0.25">
      <c r="B8" s="127" t="s">
        <v>122</v>
      </c>
      <c r="C8" s="128">
        <f>Startup!B15</f>
        <v>0</v>
      </c>
    </row>
    <row r="9" spans="2:6" x14ac:dyDescent="0.25">
      <c r="B9" s="127" t="s">
        <v>119</v>
      </c>
      <c r="C9" s="128"/>
    </row>
    <row r="10" spans="2:6" x14ac:dyDescent="0.25">
      <c r="B10" s="129" t="s">
        <v>110</v>
      </c>
      <c r="C10" s="130">
        <f>SUM(C5:C8)</f>
        <v>105000</v>
      </c>
    </row>
    <row r="11" spans="2:6" x14ac:dyDescent="0.25">
      <c r="B11" s="127"/>
      <c r="C11" s="130"/>
      <c r="E11" s="126"/>
    </row>
    <row r="12" spans="2:6" x14ac:dyDescent="0.25">
      <c r="B12" s="124" t="s">
        <v>125</v>
      </c>
      <c r="C12" s="128"/>
    </row>
    <row r="13" spans="2:6" x14ac:dyDescent="0.25">
      <c r="B13" s="127" t="s">
        <v>61</v>
      </c>
      <c r="C13" s="128">
        <f>Startup!B5+Startup!B14+Startup!B17</f>
        <v>55000</v>
      </c>
    </row>
    <row r="14" spans="2:6" x14ac:dyDescent="0.25">
      <c r="B14" s="127" t="s">
        <v>124</v>
      </c>
      <c r="C14" s="128">
        <f>Startup!B6+Startup!B7+Startup!B8+Startup!B9</f>
        <v>184000</v>
      </c>
    </row>
    <row r="15" spans="2:6" x14ac:dyDescent="0.25">
      <c r="B15" s="127" t="s">
        <v>123</v>
      </c>
      <c r="C15" s="128">
        <f>Startup!B10+Startup!B12</f>
        <v>14000</v>
      </c>
    </row>
    <row r="16" spans="2:6" x14ac:dyDescent="0.25">
      <c r="B16" s="127" t="s">
        <v>121</v>
      </c>
      <c r="C16" s="128">
        <f>Startup!B11</f>
        <v>4082</v>
      </c>
    </row>
    <row r="17" spans="2:4" x14ac:dyDescent="0.25">
      <c r="B17" s="127" t="s">
        <v>120</v>
      </c>
      <c r="C17" s="128"/>
    </row>
    <row r="18" spans="2:4" x14ac:dyDescent="0.25">
      <c r="B18" s="127" t="s">
        <v>111</v>
      </c>
      <c r="C18" s="128">
        <v>0</v>
      </c>
    </row>
    <row r="19" spans="2:4" x14ac:dyDescent="0.25">
      <c r="B19" s="129" t="s">
        <v>126</v>
      </c>
      <c r="C19" s="128">
        <f>SUM(C13:C18)</f>
        <v>257082</v>
      </c>
    </row>
    <row r="20" spans="2:4" ht="16.5" thickBot="1" x14ac:dyDescent="0.3">
      <c r="B20" s="131" t="s">
        <v>127</v>
      </c>
      <c r="C20" s="132">
        <f>SUM(C10,C19)</f>
        <v>362082</v>
      </c>
    </row>
    <row r="21" spans="2:4" x14ac:dyDescent="0.25">
      <c r="B21" s="133"/>
      <c r="C21" s="134"/>
    </row>
    <row r="22" spans="2:4" x14ac:dyDescent="0.25">
      <c r="B22" s="188" t="s">
        <v>112</v>
      </c>
      <c r="C22" s="189"/>
    </row>
    <row r="23" spans="2:4" x14ac:dyDescent="0.25">
      <c r="B23" s="124" t="s">
        <v>113</v>
      </c>
      <c r="C23" s="128"/>
    </row>
    <row r="24" spans="2:4" x14ac:dyDescent="0.25">
      <c r="B24" s="127" t="s">
        <v>114</v>
      </c>
      <c r="C24" s="128">
        <v>0</v>
      </c>
    </row>
    <row r="25" spans="2:4" x14ac:dyDescent="0.25">
      <c r="B25" s="127" t="s">
        <v>130</v>
      </c>
      <c r="C25" s="128">
        <v>0</v>
      </c>
      <c r="D25" s="126"/>
    </row>
    <row r="26" spans="2:4" x14ac:dyDescent="0.25">
      <c r="B26" s="127" t="s">
        <v>131</v>
      </c>
      <c r="C26" s="128"/>
      <c r="D26" s="126"/>
    </row>
    <row r="27" spans="2:4" x14ac:dyDescent="0.25">
      <c r="B27" s="127" t="s">
        <v>115</v>
      </c>
      <c r="C27" s="128">
        <v>0</v>
      </c>
    </row>
    <row r="28" spans="2:4" x14ac:dyDescent="0.25">
      <c r="B28" s="127" t="s">
        <v>129</v>
      </c>
      <c r="C28" s="135">
        <f>Assumptions!B8</f>
        <v>22674.666656945574</v>
      </c>
    </row>
    <row r="29" spans="2:4" x14ac:dyDescent="0.25">
      <c r="B29" s="129" t="s">
        <v>116</v>
      </c>
      <c r="C29" s="130">
        <f>SUM(C24:C28)</f>
        <v>22674.666656945574</v>
      </c>
    </row>
    <row r="30" spans="2:4" x14ac:dyDescent="0.25">
      <c r="B30" s="136"/>
      <c r="C30" s="130"/>
    </row>
    <row r="31" spans="2:4" x14ac:dyDescent="0.25">
      <c r="B31" s="124" t="s">
        <v>128</v>
      </c>
      <c r="C31" s="128"/>
    </row>
    <row r="32" spans="2:4" x14ac:dyDescent="0.25">
      <c r="B32" s="127" t="s">
        <v>132</v>
      </c>
      <c r="C32" s="128">
        <f>Startup!B27-C28</f>
        <v>264499.13334305445</v>
      </c>
    </row>
    <row r="33" spans="2:6" x14ac:dyDescent="0.25">
      <c r="B33" s="127" t="s">
        <v>137</v>
      </c>
      <c r="C33" s="128">
        <v>0</v>
      </c>
    </row>
    <row r="34" spans="2:6" x14ac:dyDescent="0.25">
      <c r="B34" s="124" t="s">
        <v>138</v>
      </c>
      <c r="C34" s="128">
        <f>SUM(C31:C33)</f>
        <v>264499.13334305445</v>
      </c>
    </row>
    <row r="35" spans="2:6" ht="16.5" thickBot="1" x14ac:dyDescent="0.3">
      <c r="B35" s="131" t="s">
        <v>118</v>
      </c>
      <c r="C35" s="132">
        <f>C34+C29</f>
        <v>287173.80000000005</v>
      </c>
    </row>
    <row r="36" spans="2:6" x14ac:dyDescent="0.25">
      <c r="B36" s="124"/>
      <c r="C36" s="128"/>
    </row>
    <row r="37" spans="2:6" x14ac:dyDescent="0.25">
      <c r="B37" s="124" t="s">
        <v>117</v>
      </c>
      <c r="C37" s="128">
        <f>+Startup!B25+E5</f>
        <v>81908.199999999953</v>
      </c>
      <c r="E37" s="169"/>
      <c r="F37" s="169"/>
    </row>
    <row r="38" spans="2:6" x14ac:dyDescent="0.25">
      <c r="B38" s="124" t="s">
        <v>180</v>
      </c>
      <c r="C38" s="128">
        <f>C20-C35-C37</f>
        <v>-7000</v>
      </c>
    </row>
    <row r="39" spans="2:6" ht="16.5" thickBot="1" x14ac:dyDescent="0.3">
      <c r="B39" s="131" t="s">
        <v>140</v>
      </c>
      <c r="C39" s="132">
        <f>SUM(C35,C37)+C38</f>
        <v>362082</v>
      </c>
    </row>
  </sheetData>
  <mergeCells count="3">
    <mergeCell ref="B3:C3"/>
    <mergeCell ref="B22:C22"/>
    <mergeCell ref="B2:C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CC29"/>
  <sheetViews>
    <sheetView zoomScaleNormal="100" workbookViewId="0">
      <selection activeCell="E29" sqref="E29"/>
    </sheetView>
  </sheetViews>
  <sheetFormatPr defaultRowHeight="15" x14ac:dyDescent="0.25"/>
  <cols>
    <col min="1" max="1" width="28" bestFit="1" customWidth="1"/>
    <col min="2" max="2" width="15.42578125" bestFit="1" customWidth="1"/>
    <col min="3" max="7" width="14.85546875" bestFit="1" customWidth="1"/>
  </cols>
  <sheetData>
    <row r="2" spans="1:81" ht="15.75" thickBot="1" x14ac:dyDescent="0.3"/>
    <row r="3" spans="1:81" s="95" customFormat="1" ht="29.1" customHeight="1" x14ac:dyDescent="0.25">
      <c r="A3" s="146" t="s">
        <v>19</v>
      </c>
      <c r="B3" s="147" t="s">
        <v>20</v>
      </c>
      <c r="C3" s="147" t="s">
        <v>69</v>
      </c>
      <c r="D3" s="147" t="s">
        <v>70</v>
      </c>
      <c r="E3" s="147" t="s">
        <v>71</v>
      </c>
      <c r="F3" s="147" t="s">
        <v>72</v>
      </c>
      <c r="G3" s="148" t="s">
        <v>73</v>
      </c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</row>
    <row r="4" spans="1:81" s="2" customFormat="1" ht="11.1" customHeight="1" x14ac:dyDescent="0.25">
      <c r="A4" s="149"/>
      <c r="B4"/>
      <c r="C4"/>
      <c r="D4"/>
      <c r="E4"/>
      <c r="F4"/>
      <c r="G4" s="150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</row>
    <row r="5" spans="1:81" x14ac:dyDescent="0.25">
      <c r="A5" s="36" t="s">
        <v>21</v>
      </c>
      <c r="B5" s="143"/>
      <c r="C5" s="143"/>
      <c r="D5" s="143"/>
      <c r="E5" s="143"/>
      <c r="F5" s="143"/>
      <c r="G5" s="18"/>
    </row>
    <row r="6" spans="1:81" ht="15.75" thickBot="1" x14ac:dyDescent="0.3">
      <c r="A6" s="19" t="s">
        <v>17</v>
      </c>
      <c r="B6" s="14">
        <v>0</v>
      </c>
      <c r="C6" s="14">
        <f>'5Y Income Statement'!F5</f>
        <v>976261.66</v>
      </c>
      <c r="D6" s="14">
        <f>'5Y Income Statement'!G5</f>
        <v>850000</v>
      </c>
      <c r="E6" s="14">
        <f>'5Y Income Statement'!H5</f>
        <v>892500</v>
      </c>
      <c r="F6" s="14">
        <f>'5Y Income Statement'!I5</f>
        <v>937125</v>
      </c>
      <c r="G6" s="151">
        <f>'5Y Income Statement'!J5</f>
        <v>983981.25</v>
      </c>
    </row>
    <row r="7" spans="1:81" ht="15.75" thickBot="1" x14ac:dyDescent="0.3">
      <c r="A7" s="23" t="s">
        <v>33</v>
      </c>
      <c r="B7" s="13">
        <f>SUM(B6)</f>
        <v>0</v>
      </c>
      <c r="C7" s="13">
        <f t="shared" ref="C7:G7" si="0">SUM(C6)</f>
        <v>976261.66</v>
      </c>
      <c r="D7" s="13">
        <f t="shared" si="0"/>
        <v>850000</v>
      </c>
      <c r="E7" s="13">
        <f t="shared" si="0"/>
        <v>892500</v>
      </c>
      <c r="F7" s="13">
        <f t="shared" si="0"/>
        <v>937125</v>
      </c>
      <c r="G7" s="24">
        <f t="shared" si="0"/>
        <v>983981.25</v>
      </c>
    </row>
    <row r="8" spans="1:81" x14ac:dyDescent="0.25">
      <c r="A8" s="22"/>
      <c r="B8" s="144"/>
      <c r="C8" s="144"/>
      <c r="D8" s="144"/>
      <c r="E8" s="144"/>
      <c r="F8" s="144"/>
      <c r="G8" s="28"/>
    </row>
    <row r="9" spans="1:81" ht="15.75" thickBot="1" x14ac:dyDescent="0.3">
      <c r="A9" s="36" t="s">
        <v>22</v>
      </c>
      <c r="B9" s="144"/>
      <c r="C9" s="144"/>
      <c r="D9" s="144"/>
      <c r="E9" s="144"/>
      <c r="F9" s="144"/>
      <c r="G9" s="28"/>
    </row>
    <row r="10" spans="1:81" x14ac:dyDescent="0.25">
      <c r="A10" s="99" t="s">
        <v>23</v>
      </c>
      <c r="B10" s="100">
        <f>Startup!B27</f>
        <v>287173.80000000005</v>
      </c>
      <c r="C10" s="100">
        <v>0</v>
      </c>
      <c r="D10" s="100">
        <v>0</v>
      </c>
      <c r="E10" s="100">
        <v>0</v>
      </c>
      <c r="F10" s="100">
        <v>0</v>
      </c>
      <c r="G10" s="101">
        <v>0</v>
      </c>
    </row>
    <row r="11" spans="1:81" ht="15.75" thickBot="1" x14ac:dyDescent="0.3">
      <c r="A11" s="20" t="s">
        <v>24</v>
      </c>
      <c r="B11" s="145">
        <f>Startup!B25+'Balance Sheet'!E5</f>
        <v>81908.199999999953</v>
      </c>
      <c r="C11" s="145">
        <v>0</v>
      </c>
      <c r="D11" s="145">
        <v>0</v>
      </c>
      <c r="E11" s="145">
        <v>0</v>
      </c>
      <c r="F11" s="145">
        <v>0</v>
      </c>
      <c r="G11" s="26">
        <v>0</v>
      </c>
    </row>
    <row r="12" spans="1:81" ht="15.75" thickBot="1" x14ac:dyDescent="0.3">
      <c r="A12" s="37" t="s">
        <v>37</v>
      </c>
      <c r="B12" s="13">
        <f t="shared" ref="B12:G12" si="1">SUM(B10:B11)+B7</f>
        <v>369082</v>
      </c>
      <c r="C12" s="13">
        <f t="shared" si="1"/>
        <v>976261.66</v>
      </c>
      <c r="D12" s="13">
        <f t="shared" si="1"/>
        <v>850000</v>
      </c>
      <c r="E12" s="13">
        <f t="shared" si="1"/>
        <v>892500</v>
      </c>
      <c r="F12" s="13">
        <f t="shared" si="1"/>
        <v>937125</v>
      </c>
      <c r="G12" s="24">
        <f t="shared" si="1"/>
        <v>983981.25</v>
      </c>
    </row>
    <row r="13" spans="1:81" x14ac:dyDescent="0.25">
      <c r="A13" s="22"/>
      <c r="B13" s="144"/>
      <c r="C13" s="144"/>
      <c r="D13" s="144"/>
      <c r="E13" s="144"/>
      <c r="F13" s="144"/>
      <c r="G13" s="28"/>
    </row>
    <row r="14" spans="1:81" x14ac:dyDescent="0.25">
      <c r="A14" s="36" t="s">
        <v>25</v>
      </c>
      <c r="B14" s="144"/>
      <c r="C14" s="144"/>
      <c r="D14" s="144"/>
      <c r="E14" s="144"/>
      <c r="F14" s="144"/>
      <c r="G14" s="28"/>
    </row>
    <row r="15" spans="1:81" ht="15.75" thickBot="1" x14ac:dyDescent="0.3">
      <c r="A15" s="38" t="s">
        <v>26</v>
      </c>
      <c r="B15" s="144"/>
      <c r="C15" s="144"/>
      <c r="D15" s="144"/>
      <c r="E15" s="144"/>
      <c r="F15" s="144"/>
      <c r="G15" s="28"/>
    </row>
    <row r="16" spans="1:81" x14ac:dyDescent="0.25">
      <c r="A16" s="99" t="s">
        <v>96</v>
      </c>
      <c r="B16" s="100">
        <v>0</v>
      </c>
      <c r="C16" s="100">
        <f>'5Y Income Statement'!F8+'5Y Income Statement'!F9+'5Y Income Statement'!F10+'5Y Income Statement'!F11</f>
        <v>640019.12277586304</v>
      </c>
      <c r="D16" s="100">
        <f>'5Y Income Statement'!G8+'5Y Income Statement'!G9+'5Y Income Statement'!G10+'5Y Income Statement'!G11</f>
        <v>539194.96845260274</v>
      </c>
      <c r="E16" s="100">
        <f>'5Y Income Statement'!H8+'5Y Income Statement'!H9+'5Y Income Statement'!H10+'5Y Income Statement'!H11</f>
        <v>566154.71687523299</v>
      </c>
      <c r="F16" s="100">
        <f>'5Y Income Statement'!I8+'5Y Income Statement'!I9+'5Y Income Statement'!I10+'5Y Income Statement'!I11</f>
        <v>594462.45271899458</v>
      </c>
      <c r="G16" s="101">
        <f>'5Y Income Statement'!J8+'5Y Income Statement'!J9+'5Y Income Statement'!J10+'5Y Income Statement'!J11</f>
        <v>624185.57535494433</v>
      </c>
    </row>
    <row r="17" spans="1:7" x14ac:dyDescent="0.25">
      <c r="A17" s="20" t="s">
        <v>95</v>
      </c>
      <c r="B17" s="145">
        <v>0</v>
      </c>
      <c r="C17" s="145" t="e">
        <f>'5Y Income Statement'!F27+'5Y Income Statement'!F31</f>
        <v>#REF!</v>
      </c>
      <c r="D17" s="145" t="e">
        <f>'5Y Income Statement'!G27+'5Y Income Statement'!G31</f>
        <v>#REF!</v>
      </c>
      <c r="E17" s="145" t="e">
        <f>'5Y Income Statement'!H27+'5Y Income Statement'!H31</f>
        <v>#REF!</v>
      </c>
      <c r="F17" s="145" t="e">
        <f>'5Y Income Statement'!I27+'5Y Income Statement'!I31</f>
        <v>#REF!</v>
      </c>
      <c r="G17" s="26" t="e">
        <f>'5Y Income Statement'!J27+'5Y Income Statement'!J31</f>
        <v>#REF!</v>
      </c>
    </row>
    <row r="18" spans="1:7" x14ac:dyDescent="0.25">
      <c r="A18" s="20" t="s">
        <v>27</v>
      </c>
      <c r="B18" s="145">
        <v>0</v>
      </c>
      <c r="C18" s="145">
        <f>'5Y Income Statement'!F37</f>
        <v>21394.448100000001</v>
      </c>
      <c r="D18" s="145">
        <f>'5Y Income Statement'!G37</f>
        <v>21394.448100000001</v>
      </c>
      <c r="E18" s="145">
        <f>'5Y Income Statement'!H37</f>
        <v>21394.448100000001</v>
      </c>
      <c r="F18" s="145">
        <f>'5Y Income Statement'!I37</f>
        <v>21394.448100000001</v>
      </c>
      <c r="G18" s="26">
        <f>'5Y Income Statement'!J37</f>
        <v>21394.448100000001</v>
      </c>
    </row>
    <row r="19" spans="1:7" x14ac:dyDescent="0.25">
      <c r="A19" s="25" t="s">
        <v>28</v>
      </c>
      <c r="B19" s="15">
        <v>0</v>
      </c>
      <c r="C19" s="15" t="e">
        <f>'5Y Income Statement'!F38</f>
        <v>#REF!</v>
      </c>
      <c r="D19" s="15" t="e">
        <f>'5Y Income Statement'!G38</f>
        <v>#REF!</v>
      </c>
      <c r="E19" s="15" t="e">
        <f>'5Y Income Statement'!H38</f>
        <v>#REF!</v>
      </c>
      <c r="F19" s="15" t="e">
        <f>'5Y Income Statement'!I38</f>
        <v>#REF!</v>
      </c>
      <c r="G19" s="27" t="e">
        <f>'5Y Income Statement'!J38</f>
        <v>#REF!</v>
      </c>
    </row>
    <row r="20" spans="1:7" ht="15.75" thickBot="1" x14ac:dyDescent="0.3">
      <c r="A20" s="96" t="s">
        <v>33</v>
      </c>
      <c r="B20" s="97">
        <f>SUM(B17:B19)</f>
        <v>0</v>
      </c>
      <c r="C20" s="97" t="e">
        <f>SUM(C16:C19)</f>
        <v>#REF!</v>
      </c>
      <c r="D20" s="97" t="e">
        <f>SUM(D16:D19)</f>
        <v>#REF!</v>
      </c>
      <c r="E20" s="97" t="e">
        <f t="shared" ref="E20:G20" si="2">SUM(E16:E19)</f>
        <v>#REF!</v>
      </c>
      <c r="F20" s="97" t="e">
        <f t="shared" si="2"/>
        <v>#REF!</v>
      </c>
      <c r="G20" s="98" t="e">
        <f t="shared" si="2"/>
        <v>#REF!</v>
      </c>
    </row>
    <row r="21" spans="1:7" x14ac:dyDescent="0.25">
      <c r="A21" s="22"/>
      <c r="B21" s="144"/>
      <c r="C21" s="144"/>
      <c r="D21" s="144"/>
      <c r="E21" s="144"/>
      <c r="F21" s="144"/>
      <c r="G21" s="28"/>
    </row>
    <row r="22" spans="1:7" ht="15.75" thickBot="1" x14ac:dyDescent="0.3">
      <c r="A22" s="36" t="s">
        <v>29</v>
      </c>
      <c r="B22" s="144"/>
      <c r="C22" s="144"/>
      <c r="D22" s="144"/>
      <c r="E22" s="144"/>
      <c r="F22" s="144"/>
      <c r="G22" s="28"/>
    </row>
    <row r="23" spans="1:7" x14ac:dyDescent="0.25">
      <c r="A23" s="99" t="s">
        <v>30</v>
      </c>
      <c r="B23" s="100">
        <v>0</v>
      </c>
      <c r="C23" s="100">
        <f>'5Y Income Statement'!F40</f>
        <v>0</v>
      </c>
      <c r="D23" s="100">
        <f>'5Y Income Statement'!G40</f>
        <v>0</v>
      </c>
      <c r="E23" s="100">
        <f>'5Y Income Statement'!H40</f>
        <v>0</v>
      </c>
      <c r="F23" s="100">
        <f>'5Y Income Statement'!I40</f>
        <v>0</v>
      </c>
      <c r="G23" s="101">
        <f>'5Y Income Statement'!J40</f>
        <v>0</v>
      </c>
    </row>
    <row r="24" spans="1:7" x14ac:dyDescent="0.25">
      <c r="A24" s="20" t="s">
        <v>31</v>
      </c>
      <c r="B24" s="145">
        <f>Startup!B22</f>
        <v>319082</v>
      </c>
      <c r="C24" s="145">
        <v>0</v>
      </c>
      <c r="D24" s="145">
        <v>0</v>
      </c>
      <c r="E24" s="145">
        <v>0</v>
      </c>
      <c r="F24" s="145">
        <v>0</v>
      </c>
      <c r="G24" s="26">
        <v>0</v>
      </c>
    </row>
    <row r="25" spans="1:7" ht="15.75" thickBot="1" x14ac:dyDescent="0.3">
      <c r="A25" s="20" t="s">
        <v>32</v>
      </c>
      <c r="B25" s="145">
        <v>0</v>
      </c>
      <c r="C25" s="145">
        <v>0</v>
      </c>
      <c r="D25" s="145">
        <v>0</v>
      </c>
      <c r="E25" s="145">
        <v>0</v>
      </c>
      <c r="F25" s="145">
        <v>0</v>
      </c>
      <c r="G25" s="26">
        <v>0</v>
      </c>
    </row>
    <row r="26" spans="1:7" ht="15.75" thickBot="1" x14ac:dyDescent="0.3">
      <c r="A26" s="37" t="s">
        <v>36</v>
      </c>
      <c r="B26" s="17">
        <f t="shared" ref="B26:G26" si="3">SUM(B23:B25)+B20</f>
        <v>319082</v>
      </c>
      <c r="C26" s="13" t="e">
        <f t="shared" si="3"/>
        <v>#REF!</v>
      </c>
      <c r="D26" s="13" t="e">
        <f t="shared" si="3"/>
        <v>#REF!</v>
      </c>
      <c r="E26" s="13" t="e">
        <f t="shared" si="3"/>
        <v>#REF!</v>
      </c>
      <c r="F26" s="13" t="e">
        <f t="shared" si="3"/>
        <v>#REF!</v>
      </c>
      <c r="G26" s="24" t="e">
        <f t="shared" si="3"/>
        <v>#REF!</v>
      </c>
    </row>
    <row r="27" spans="1:7" x14ac:dyDescent="0.25">
      <c r="A27" s="22"/>
      <c r="B27" s="144"/>
      <c r="C27" s="144"/>
      <c r="D27" s="144"/>
      <c r="E27" s="144"/>
      <c r="F27" s="144"/>
      <c r="G27" s="28"/>
    </row>
    <row r="28" spans="1:7" x14ac:dyDescent="0.25">
      <c r="A28" s="21" t="s">
        <v>34</v>
      </c>
      <c r="B28" s="16">
        <f t="shared" ref="B28:G28" si="4">B12-B26</f>
        <v>50000</v>
      </c>
      <c r="C28" s="16" t="e">
        <f t="shared" si="4"/>
        <v>#REF!</v>
      </c>
      <c r="D28" s="16" t="e">
        <f t="shared" si="4"/>
        <v>#REF!</v>
      </c>
      <c r="E28" s="16" t="e">
        <f t="shared" si="4"/>
        <v>#REF!</v>
      </c>
      <c r="F28" s="16" t="e">
        <f t="shared" si="4"/>
        <v>#REF!</v>
      </c>
      <c r="G28" s="39" t="e">
        <f t="shared" si="4"/>
        <v>#REF!</v>
      </c>
    </row>
    <row r="29" spans="1:7" ht="15.75" thickBot="1" x14ac:dyDescent="0.3">
      <c r="A29" s="40" t="s">
        <v>35</v>
      </c>
      <c r="B29" s="41">
        <f>B28</f>
        <v>50000</v>
      </c>
      <c r="C29" s="41" t="e">
        <f>B29+C28</f>
        <v>#REF!</v>
      </c>
      <c r="D29" s="41" t="e">
        <f t="shared" ref="D29:G29" si="5">C29+D28</f>
        <v>#REF!</v>
      </c>
      <c r="E29" s="41" t="e">
        <f t="shared" si="5"/>
        <v>#REF!</v>
      </c>
      <c r="F29" s="41" t="e">
        <f t="shared" si="5"/>
        <v>#REF!</v>
      </c>
      <c r="G29" s="42" t="e">
        <f t="shared" si="5"/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Cover</vt:lpstr>
      <vt:lpstr>Startup</vt:lpstr>
      <vt:lpstr>Assumptions</vt:lpstr>
      <vt:lpstr>24M Income Statement</vt:lpstr>
      <vt:lpstr>5Y Income Statement</vt:lpstr>
      <vt:lpstr>Balance Sheet</vt:lpstr>
      <vt:lpstr>Cash Flow</vt:lpstr>
      <vt:lpstr>'24M Income Statement'!Print_Area</vt:lpstr>
      <vt:lpstr>'5Y Income Statement'!Print_Area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Peace Oyebamiji</dc:creator>
  <cp:lastModifiedBy>David Henderson</cp:lastModifiedBy>
  <dcterms:created xsi:type="dcterms:W3CDTF">2023-01-28T16:55:17Z</dcterms:created>
  <dcterms:modified xsi:type="dcterms:W3CDTF">2026-03-21T02:19:08Z</dcterms:modified>
</cp:coreProperties>
</file>